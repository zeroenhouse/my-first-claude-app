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1929\Downloads\"/>
    </mc:Choice>
  </mc:AlternateContent>
  <bookViews>
    <workbookView xWindow="0" yWindow="0" windowWidth="23040" windowHeight="10632" activeTab="2"/>
  </bookViews>
  <sheets>
    <sheet name="サマリー比較" sheetId="1" r:id="rId1"/>
    <sheet name="年齢別詳細" sheetId="2" r:id="rId2"/>
    <sheet name="人口特性分析" sheetId="3" r:id="rId3"/>
  </sheets>
  <calcPr calcId="162913"/>
</workbook>
</file>

<file path=xl/calcChain.xml><?xml version="1.0" encoding="utf-8"?>
<calcChain xmlns="http://schemas.openxmlformats.org/spreadsheetml/2006/main">
  <c r="H17" i="3" l="1"/>
  <c r="G17" i="3"/>
  <c r="H16" i="3"/>
  <c r="G16" i="3"/>
  <c r="H15" i="3"/>
  <c r="G15" i="3"/>
  <c r="H14" i="3"/>
  <c r="G14" i="3"/>
  <c r="H13" i="3"/>
  <c r="G13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H5" i="3"/>
  <c r="G5" i="3"/>
  <c r="H4" i="3"/>
  <c r="G4" i="3"/>
  <c r="H3" i="3"/>
  <c r="G3" i="3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F22" i="1"/>
  <c r="AD22" i="1"/>
  <c r="AB22" i="1"/>
  <c r="Z22" i="1"/>
  <c r="X22" i="1"/>
  <c r="V22" i="1"/>
  <c r="T22" i="1"/>
  <c r="R22" i="1"/>
  <c r="P22" i="1"/>
  <c r="N22" i="1"/>
  <c r="L22" i="1"/>
  <c r="J22" i="1"/>
  <c r="H22" i="1"/>
  <c r="F22" i="1"/>
  <c r="D22" i="1"/>
  <c r="AE21" i="1"/>
  <c r="AC21" i="1"/>
  <c r="AA21" i="1"/>
  <c r="Y21" i="1"/>
  <c r="W21" i="1"/>
  <c r="U21" i="1"/>
  <c r="S21" i="1"/>
  <c r="Q21" i="1"/>
  <c r="O21" i="1"/>
  <c r="M21" i="1"/>
  <c r="K21" i="1"/>
  <c r="I21" i="1"/>
  <c r="G21" i="1"/>
  <c r="E21" i="1"/>
  <c r="C21" i="1"/>
</calcChain>
</file>

<file path=xl/sharedStrings.xml><?xml version="1.0" encoding="utf-8"?>
<sst xmlns="http://schemas.openxmlformats.org/spreadsheetml/2006/main" count="205" uniqueCount="93">
  <si>
    <t>商圏人口分析サマリー　各店舗比較（ドライブタイム別・2020年国勢調査）</t>
  </si>
  <si>
    <t>指標</t>
  </si>
  <si>
    <t>単位</t>
  </si>
  <si>
    <t>伊川谷 （アミパラ/マルハン）</t>
  </si>
  <si>
    <t>アミパラ 東尾道店</t>
  </si>
  <si>
    <t>OTAICHI 大阪福島店</t>
  </si>
  <si>
    <t>OTAICHI 東加古川店</t>
  </si>
  <si>
    <t>トレジャーランド 東金店</t>
  </si>
  <si>
    <t>回遊館 西条店</t>
  </si>
  <si>
    <t>回遊館 岐阜店</t>
  </si>
  <si>
    <t>回遊館 伊勢崎店</t>
  </si>
  <si>
    <t>回遊館 長浜店</t>
  </si>
  <si>
    <t>回遊館 鳥取店</t>
  </si>
  <si>
    <t>回遊館 出雲店</t>
  </si>
  <si>
    <t>回遊館 橿原店</t>
  </si>
  <si>
    <t>回遊館 洲本店</t>
  </si>
  <si>
    <t>回遊館 養父店</t>
  </si>
  <si>
    <t>ブイゾーン 我孫子店</t>
  </si>
  <si>
    <t>20分圏</t>
  </si>
  <si>
    <t>30分圏</t>
  </si>
  <si>
    <t>【人口規模】</t>
  </si>
  <si>
    <t>総人口</t>
  </si>
  <si>
    <t>人</t>
  </si>
  <si>
    <t>　うち男性</t>
  </si>
  <si>
    <t>　うち女性</t>
  </si>
  <si>
    <t>20分→30分 増加倍率</t>
  </si>
  <si>
    <t>倍</t>
  </si>
  <si>
    <t>【年齢構成】</t>
  </si>
  <si>
    <t>15歳未満（年少）</t>
  </si>
  <si>
    <t>15-64歳（生産年齢）</t>
  </si>
  <si>
    <t>65歳以上（高齢者）</t>
  </si>
  <si>
    <t>75歳以上（後期高齢）</t>
  </si>
  <si>
    <t>【年齢構成比】</t>
  </si>
  <si>
    <t>年少人口率（0-14歳）</t>
  </si>
  <si>
    <t>%</t>
  </si>
  <si>
    <t>生産年齢人口率</t>
  </si>
  <si>
    <t>高齢化率（65歳+）</t>
  </si>
  <si>
    <t>後期高齢者率（75歳+）</t>
  </si>
  <si>
    <t>【店舗参考】</t>
  </si>
  <si>
    <t>設置台数（要入力）</t>
  </si>
  <si>
    <t>台</t>
  </si>
  <si>
    <t>台当たり人口20分圏</t>
  </si>
  <si>
    <t>人/台</t>
  </si>
  <si>
    <t>台当たり人口30分圏</t>
  </si>
  <si>
    <t>年齢別人口詳細（5歳刻み）　2020年国勢調査</t>
  </si>
  <si>
    <t>年齢層</t>
  </si>
  <si>
    <t>0-4歳</t>
  </si>
  <si>
    <t>5-9歳</t>
  </si>
  <si>
    <t>10-14歳</t>
  </si>
  <si>
    <t>15-19歳</t>
  </si>
  <si>
    <t>20-24歳</t>
  </si>
  <si>
    <t>▶パチ主要</t>
  </si>
  <si>
    <t>25-29歳</t>
  </si>
  <si>
    <t>30-34歳</t>
  </si>
  <si>
    <t>35-39歳</t>
  </si>
  <si>
    <t>40-44歳</t>
  </si>
  <si>
    <t>45-49歳</t>
  </si>
  <si>
    <t>50-54歳</t>
  </si>
  <si>
    <t>55-59歳</t>
  </si>
  <si>
    <t>60-64歳</t>
  </si>
  <si>
    <t>65-69歳</t>
  </si>
  <si>
    <t>70-74歳</t>
  </si>
  <si>
    <t>75-79歳</t>
  </si>
  <si>
    <t>80-84歳</t>
  </si>
  <si>
    <t>85歳以上</t>
  </si>
  <si>
    <t>15歳未満計</t>
  </si>
  <si>
    <t>15-64歳計</t>
  </si>
  <si>
    <t>65歳以上計</t>
  </si>
  <si>
    <t>75歳以上計</t>
  </si>
  <si>
    <t>▶パチンコ主要層計
（20-64歳）</t>
  </si>
  <si>
    <t>人口特性分析　共通点・特徴まとめ（20分圏ベース）</t>
  </si>
  <si>
    <t>店舗名</t>
  </si>
  <si>
    <t>20分圏
総人口</t>
  </si>
  <si>
    <t>高齢化率
（65+%）</t>
  </si>
  <si>
    <t>壮年層率
（20-64%）</t>
  </si>
  <si>
    <t>圏域拡張率
（30÷20）</t>
  </si>
  <si>
    <t>特性タグ</t>
  </si>
  <si>
    <t>中商圏 / 壮年層豊富</t>
  </si>
  <si>
    <t>中商圏 / 高齢化進展 / 壮年層豊富</t>
  </si>
  <si>
    <t>大商圏 / 壮年層豊富 / 郊外拡張型</t>
  </si>
  <si>
    <t>小商圏 / 高齢化進展 / 壮年層豊富 / 郊外拡張型</t>
  </si>
  <si>
    <t>小商圏 / 壮年層豊富 / 郊外拡張型</t>
  </si>
  <si>
    <t>中商圏 / 高齢化進展 / 壮年層豊富 / 郊外拡張型</t>
  </si>
  <si>
    <t>中商圏 / 壮年層豊富 / 郊外拡張型</t>
  </si>
  <si>
    <t>中商圏 / 壮年層豊富 / 都市集中型</t>
  </si>
  <si>
    <t>小商圏 / 高齢化進展 / 壮年層豊富</t>
  </si>
  <si>
    <t>■ 共通点・傾向まとめ（自動分析）</t>
  </si>
  <si>
    <t>① 平均総人口（20分圏）：約233,786人　│　最大：1,123,767人（大阪福島）　│　最小：26,738人（養父）</t>
  </si>
  <si>
    <t>② 平均高齢化率：29.7%　│　高齢化が特に進んでいる店舗（30%超）：アミパラ 東尾道店, トレジャーランド 東金店, 回遊館 岐阜店, 回遊館 長浜店, 回遊館 洲本店, 回遊館 養父店</t>
  </si>
  <si>
    <t>③ 平均壮年層率（パチ主要層20-64歳）：53.2%　│　この層の絶対数が多い都市型大商圏と、率は高くても絶対数が少ない地方小商圏に二極化</t>
  </si>
  <si>
    <t>④ 圏域拡張率（30÷20倍率）平均：2.02倍　│　2.0倍超の郊外拡散型：OTAICHI 大阪福島店, トレジャーランド 東金店, 回遊館 西条店, 回遊館 岐阜店, 回遊館 伊勢崎店, 回遊館 長浜店, 回遊館 養父店, ブイゾーン 我孫子店</t>
  </si>
  <si>
    <t>⑤ 地方郊外型（長浜・鳥取・出雲・西条・養父・洲本）は20分圏人口が小さく、競合が少ない代わりに絶対商圏人口が限定的。台当たり人口で立地優位性を評価することを推奨。</t>
  </si>
  <si>
    <t>⑥ 都市型（大阪福島・伊川谷・橿原・岐阜・伊勢崎）は高密度商圏だが競合パチンコ店との競争激化が想定される。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</si>
</sst>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14">
    <font>
      <sz val="11"/>
      <color theme="1"/>
      <name val="ＭＳ Ｐゴシック"/>
      <family val="2"/>
      <scheme val="minor"/>
    </font>
    <font>
      <b/>
      <sz val="11"/>
      <color rgb="FFFFFFFF"/>
      <name val="Meiryo"/>
      <family val="3"/>
      <charset val="128"/>
    </font>
    <font>
      <b/>
      <sz val="8"/>
      <color rgb="FFFFFFFF"/>
      <name val="Meiryo"/>
      <family val="3"/>
      <charset val="128"/>
    </font>
    <font>
      <b/>
      <sz val="9"/>
      <color rgb="FFFFFFFF"/>
      <name val="Meiryo"/>
      <family val="3"/>
      <charset val="128"/>
    </font>
    <font>
      <sz val="9"/>
      <color rgb="FF000000"/>
      <name val="Meiryo"/>
      <family val="3"/>
      <charset val="128"/>
    </font>
    <font>
      <b/>
      <sz val="8"/>
      <color rgb="FF2E75B6"/>
      <name val="Meiryo"/>
      <family val="3"/>
      <charset val="128"/>
    </font>
    <font>
      <sz val="8"/>
      <color rgb="FF000000"/>
      <name val="Meiryo"/>
      <family val="3"/>
      <charset val="128"/>
    </font>
    <font>
      <sz val="9"/>
      <name val="Meiryo"/>
      <family val="3"/>
      <charset val="128"/>
    </font>
    <font>
      <sz val="7"/>
      <color rgb="FF7F6000"/>
      <name val="Meiryo"/>
      <family val="3"/>
      <charset val="128"/>
    </font>
    <font>
      <b/>
      <sz val="9"/>
      <color rgb="FF000000"/>
      <name val="Meiryo"/>
      <family val="3"/>
      <charset val="128"/>
    </font>
    <font>
      <b/>
      <sz val="9"/>
      <color rgb="FF7F6000"/>
      <name val="Meiryo"/>
      <family val="3"/>
      <charset val="128"/>
    </font>
    <font>
      <b/>
      <sz val="10"/>
      <color rgb="FFFFFFFF"/>
      <name val="Meiryo"/>
      <family val="3"/>
      <charset val="128"/>
    </font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404040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FE699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38" fontId="12" fillId="0" borderId="0" applyFont="0" applyFill="0" applyBorder="0" applyAlignment="0" applyProtection="0">
      <alignment vertical="center"/>
    </xf>
  </cellStyleXfs>
  <cellXfs count="53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/>
    </xf>
    <xf numFmtId="3" fontId="4" fillId="5" borderId="2" xfId="0" applyNumberFormat="1" applyFont="1" applyFill="1" applyBorder="1" applyAlignment="1">
      <alignment horizontal="right" vertical="center"/>
    </xf>
    <xf numFmtId="0" fontId="4" fillId="6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center" vertical="center"/>
    </xf>
    <xf numFmtId="3" fontId="4" fillId="6" borderId="2" xfId="0" applyNumberFormat="1" applyFont="1" applyFill="1" applyBorder="1" applyAlignment="1">
      <alignment horizontal="right" vertical="center"/>
    </xf>
    <xf numFmtId="2" fontId="4" fillId="5" borderId="2" xfId="0" applyNumberFormat="1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right" vertical="center"/>
    </xf>
    <xf numFmtId="0" fontId="4" fillId="8" borderId="2" xfId="0" applyFont="1" applyFill="1" applyBorder="1" applyAlignment="1">
      <alignment horizontal="left" vertical="center"/>
    </xf>
    <xf numFmtId="0" fontId="6" fillId="8" borderId="2" xfId="0" applyFont="1" applyFill="1" applyBorder="1" applyAlignment="1">
      <alignment horizontal="center" vertical="center"/>
    </xf>
    <xf numFmtId="3" fontId="4" fillId="8" borderId="2" xfId="0" applyNumberFormat="1" applyFont="1" applyFill="1" applyBorder="1" applyAlignment="1">
      <alignment horizontal="right" vertical="center"/>
    </xf>
    <xf numFmtId="176" fontId="4" fillId="6" borderId="2" xfId="0" applyNumberFormat="1" applyFont="1" applyFill="1" applyBorder="1" applyAlignment="1">
      <alignment horizontal="right" vertical="center"/>
    </xf>
    <xf numFmtId="176" fontId="4" fillId="8" borderId="2" xfId="0" applyNumberFormat="1" applyFont="1" applyFill="1" applyBorder="1" applyAlignment="1">
      <alignment horizontal="right" vertical="center"/>
    </xf>
    <xf numFmtId="0" fontId="4" fillId="10" borderId="2" xfId="0" applyFont="1" applyFill="1" applyBorder="1" applyAlignment="1">
      <alignment horizontal="left" vertical="center"/>
    </xf>
    <xf numFmtId="0" fontId="6" fillId="10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right" vertical="center"/>
    </xf>
    <xf numFmtId="3" fontId="7" fillId="10" borderId="2" xfId="0" applyNumberFormat="1" applyFont="1" applyFill="1" applyBorder="1" applyAlignment="1">
      <alignment horizontal="right" vertical="center"/>
    </xf>
    <xf numFmtId="0" fontId="8" fillId="5" borderId="2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left" vertical="center"/>
    </xf>
    <xf numFmtId="0" fontId="9" fillId="11" borderId="2" xfId="0" applyFont="1" applyFill="1" applyBorder="1" applyAlignment="1">
      <alignment horizontal="left" vertical="center"/>
    </xf>
    <xf numFmtId="0" fontId="8" fillId="11" borderId="2" xfId="0" applyFont="1" applyFill="1" applyBorder="1" applyAlignment="1">
      <alignment horizontal="left" vertical="center"/>
    </xf>
    <xf numFmtId="3" fontId="4" fillId="11" borderId="2" xfId="0" applyNumberFormat="1" applyFont="1" applyFill="1" applyBorder="1" applyAlignment="1">
      <alignment horizontal="right" vertical="center"/>
    </xf>
    <xf numFmtId="0" fontId="9" fillId="5" borderId="2" xfId="0" applyFont="1" applyFill="1" applyBorder="1" applyAlignment="1">
      <alignment horizontal="left" vertical="center"/>
    </xf>
    <xf numFmtId="3" fontId="9" fillId="5" borderId="2" xfId="0" applyNumberFormat="1" applyFont="1" applyFill="1" applyBorder="1" applyAlignment="1">
      <alignment horizontal="right" vertical="center"/>
    </xf>
    <xf numFmtId="0" fontId="9" fillId="8" borderId="2" xfId="0" applyFont="1" applyFill="1" applyBorder="1" applyAlignment="1">
      <alignment horizontal="left" vertical="center"/>
    </xf>
    <xf numFmtId="3" fontId="9" fillId="8" borderId="2" xfId="0" applyNumberFormat="1" applyFont="1" applyFill="1" applyBorder="1" applyAlignment="1">
      <alignment horizontal="right" vertical="center"/>
    </xf>
    <xf numFmtId="0" fontId="9" fillId="12" borderId="2" xfId="0" applyFont="1" applyFill="1" applyBorder="1" applyAlignment="1">
      <alignment horizontal="left" vertical="center"/>
    </xf>
    <xf numFmtId="0" fontId="4" fillId="12" borderId="2" xfId="0" applyFont="1" applyFill="1" applyBorder="1" applyAlignment="1">
      <alignment horizontal="left" vertical="center"/>
    </xf>
    <xf numFmtId="3" fontId="9" fillId="12" borderId="2" xfId="0" applyNumberFormat="1" applyFont="1" applyFill="1" applyBorder="1" applyAlignment="1">
      <alignment horizontal="right" vertical="center"/>
    </xf>
    <xf numFmtId="0" fontId="10" fillId="13" borderId="2" xfId="0" applyFont="1" applyFill="1" applyBorder="1" applyAlignment="1">
      <alignment horizontal="left" vertical="center" wrapText="1"/>
    </xf>
    <xf numFmtId="0" fontId="4" fillId="13" borderId="2" xfId="0" applyFont="1" applyFill="1" applyBorder="1" applyAlignment="1">
      <alignment horizontal="left" vertical="center"/>
    </xf>
    <xf numFmtId="3" fontId="9" fillId="13" borderId="2" xfId="0" applyNumberFormat="1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 wrapText="1"/>
    </xf>
    <xf numFmtId="176" fontId="4" fillId="5" borderId="2" xfId="0" applyNumberFormat="1" applyFont="1" applyFill="1" applyBorder="1" applyAlignment="1">
      <alignment horizontal="right" vertical="center"/>
    </xf>
    <xf numFmtId="176" fontId="4" fillId="10" borderId="2" xfId="0" applyNumberFormat="1" applyFont="1" applyFill="1" applyBorder="1" applyAlignment="1">
      <alignment horizontal="right" vertical="center"/>
    </xf>
    <xf numFmtId="2" fontId="4" fillId="6" borderId="2" xfId="0" applyNumberFormat="1" applyFont="1" applyFill="1" applyBorder="1" applyAlignment="1">
      <alignment horizontal="right" vertical="center"/>
    </xf>
    <xf numFmtId="2" fontId="4" fillId="11" borderId="2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7" fillId="5" borderId="2" xfId="0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left" vertical="center"/>
    </xf>
    <xf numFmtId="0" fontId="7" fillId="6" borderId="2" xfId="0" applyFont="1" applyFill="1" applyBorder="1" applyAlignment="1">
      <alignment horizontal="left" vertical="center" wrapText="1"/>
    </xf>
    <xf numFmtId="38" fontId="5" fillId="4" borderId="2" xfId="1" applyFont="1" applyFill="1" applyBorder="1" applyAlignment="1">
      <alignment horizontal="center" vertical="center"/>
    </xf>
    <xf numFmtId="38" fontId="0" fillId="0" borderId="0" xfId="1" applyFont="1" applyAlignment="1"/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9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7" sqref="C7"/>
    </sheetView>
  </sheetViews>
  <sheetFormatPr defaultRowHeight="13.2"/>
  <cols>
    <col min="1" max="1" width="20" customWidth="1"/>
    <col min="2" max="2" width="6" customWidth="1"/>
    <col min="3" max="32" width="9" customWidth="1"/>
  </cols>
  <sheetData>
    <row r="1" spans="1:34" ht="16.05" customHeight="1">
      <c r="A1" s="46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</row>
    <row r="2" spans="1:34" ht="36" customHeight="1">
      <c r="A2" s="1" t="s">
        <v>1</v>
      </c>
      <c r="B2" s="1" t="s">
        <v>2</v>
      </c>
      <c r="C2" s="44" t="s">
        <v>3</v>
      </c>
      <c r="D2" s="43"/>
      <c r="E2" s="44" t="s">
        <v>4</v>
      </c>
      <c r="F2" s="43"/>
      <c r="G2" s="44" t="s">
        <v>5</v>
      </c>
      <c r="H2" s="43"/>
      <c r="I2" s="44" t="s">
        <v>6</v>
      </c>
      <c r="J2" s="43"/>
      <c r="K2" s="44" t="s">
        <v>7</v>
      </c>
      <c r="L2" s="43"/>
      <c r="M2" s="44" t="s">
        <v>8</v>
      </c>
      <c r="N2" s="43"/>
      <c r="O2" s="44" t="s">
        <v>9</v>
      </c>
      <c r="P2" s="43"/>
      <c r="Q2" s="44" t="s">
        <v>10</v>
      </c>
      <c r="R2" s="43"/>
      <c r="S2" s="44" t="s">
        <v>11</v>
      </c>
      <c r="T2" s="43"/>
      <c r="U2" s="44" t="s">
        <v>12</v>
      </c>
      <c r="V2" s="43"/>
      <c r="W2" s="44" t="s">
        <v>13</v>
      </c>
      <c r="X2" s="43"/>
      <c r="Y2" s="44" t="s">
        <v>14</v>
      </c>
      <c r="Z2" s="43"/>
      <c r="AA2" s="44" t="s">
        <v>15</v>
      </c>
      <c r="AB2" s="43"/>
      <c r="AC2" s="44" t="s">
        <v>16</v>
      </c>
      <c r="AD2" s="43"/>
      <c r="AE2" s="44" t="s">
        <v>17</v>
      </c>
      <c r="AF2" s="43"/>
    </row>
    <row r="3" spans="1:34" ht="13.95" customHeight="1">
      <c r="A3" s="2"/>
      <c r="B3" s="2"/>
      <c r="C3" s="3" t="s">
        <v>18</v>
      </c>
      <c r="D3" s="3" t="s">
        <v>19</v>
      </c>
      <c r="E3" s="3" t="s">
        <v>18</v>
      </c>
      <c r="F3" s="3" t="s">
        <v>19</v>
      </c>
      <c r="G3" s="3" t="s">
        <v>18</v>
      </c>
      <c r="H3" s="3" t="s">
        <v>19</v>
      </c>
      <c r="I3" s="3" t="s">
        <v>18</v>
      </c>
      <c r="J3" s="3" t="s">
        <v>19</v>
      </c>
      <c r="K3" s="3" t="s">
        <v>18</v>
      </c>
      <c r="L3" s="3" t="s">
        <v>19</v>
      </c>
      <c r="M3" s="3" t="s">
        <v>18</v>
      </c>
      <c r="N3" s="3" t="s">
        <v>19</v>
      </c>
      <c r="O3" s="3" t="s">
        <v>18</v>
      </c>
      <c r="P3" s="3" t="s">
        <v>19</v>
      </c>
      <c r="Q3" s="3" t="s">
        <v>18</v>
      </c>
      <c r="R3" s="3" t="s">
        <v>19</v>
      </c>
      <c r="S3" s="3" t="s">
        <v>18</v>
      </c>
      <c r="T3" s="3" t="s">
        <v>19</v>
      </c>
      <c r="U3" s="3" t="s">
        <v>18</v>
      </c>
      <c r="V3" s="3" t="s">
        <v>19</v>
      </c>
      <c r="W3" s="3" t="s">
        <v>18</v>
      </c>
      <c r="X3" s="3" t="s">
        <v>19</v>
      </c>
      <c r="Y3" s="3" t="s">
        <v>18</v>
      </c>
      <c r="Z3" s="3" t="s">
        <v>19</v>
      </c>
      <c r="AA3" s="3" t="s">
        <v>18</v>
      </c>
      <c r="AB3" s="3" t="s">
        <v>19</v>
      </c>
      <c r="AC3" s="3" t="s">
        <v>18</v>
      </c>
      <c r="AD3" s="3" t="s">
        <v>19</v>
      </c>
      <c r="AE3" s="3" t="s">
        <v>18</v>
      </c>
      <c r="AF3" s="3" t="s">
        <v>19</v>
      </c>
    </row>
    <row r="4" spans="1:34" ht="16.05" customHeight="1">
      <c r="A4" s="47" t="s">
        <v>20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</row>
    <row r="5" spans="1:34" ht="16.05" customHeight="1">
      <c r="A5" s="5" t="s">
        <v>21</v>
      </c>
      <c r="B5" s="6" t="s">
        <v>22</v>
      </c>
      <c r="C5" s="7">
        <v>431489</v>
      </c>
      <c r="D5" s="7">
        <v>700122</v>
      </c>
      <c r="E5" s="7">
        <v>128969</v>
      </c>
      <c r="F5" s="7">
        <v>254334</v>
      </c>
      <c r="G5" s="7">
        <v>1123767</v>
      </c>
      <c r="H5" s="7">
        <v>2527294</v>
      </c>
      <c r="I5" s="7">
        <v>399286</v>
      </c>
      <c r="J5" s="7">
        <v>588394</v>
      </c>
      <c r="K5" s="7">
        <v>89544</v>
      </c>
      <c r="L5" s="7">
        <v>198076</v>
      </c>
      <c r="M5" s="7">
        <v>68982</v>
      </c>
      <c r="N5" s="7">
        <v>156186</v>
      </c>
      <c r="O5" s="7">
        <v>148531</v>
      </c>
      <c r="P5" s="7">
        <v>457115</v>
      </c>
      <c r="Q5" s="7">
        <v>206314</v>
      </c>
      <c r="R5" s="7">
        <v>445403</v>
      </c>
      <c r="S5" s="7">
        <v>37374</v>
      </c>
      <c r="T5" s="7">
        <v>98563</v>
      </c>
      <c r="U5" s="7">
        <v>143275</v>
      </c>
      <c r="V5" s="7">
        <v>181772</v>
      </c>
      <c r="W5" s="7">
        <v>103428</v>
      </c>
      <c r="X5" s="7">
        <v>140663</v>
      </c>
      <c r="Y5" s="7">
        <v>211636</v>
      </c>
      <c r="Z5" s="7">
        <v>396310</v>
      </c>
      <c r="AA5" s="7">
        <v>41374</v>
      </c>
      <c r="AB5" s="7">
        <v>75860</v>
      </c>
      <c r="AC5" s="7">
        <v>26738</v>
      </c>
      <c r="AD5" s="7">
        <v>55223</v>
      </c>
      <c r="AE5" s="7">
        <v>346084</v>
      </c>
      <c r="AF5" s="7">
        <v>769726</v>
      </c>
    </row>
    <row r="6" spans="1:34" ht="16.05" customHeight="1">
      <c r="A6" s="8" t="s">
        <v>23</v>
      </c>
      <c r="B6" s="9" t="s">
        <v>22</v>
      </c>
      <c r="C6" s="10">
        <v>204222</v>
      </c>
      <c r="D6" s="10">
        <v>331189</v>
      </c>
      <c r="E6" s="10">
        <v>61982</v>
      </c>
      <c r="F6" s="10">
        <v>121740</v>
      </c>
      <c r="G6" s="10">
        <v>543196</v>
      </c>
      <c r="H6" s="10">
        <v>1222473</v>
      </c>
      <c r="I6" s="10">
        <v>194394</v>
      </c>
      <c r="J6" s="10">
        <v>285684</v>
      </c>
      <c r="K6" s="10">
        <v>44593</v>
      </c>
      <c r="L6" s="10">
        <v>98426</v>
      </c>
      <c r="M6" s="10">
        <v>33444</v>
      </c>
      <c r="N6" s="10">
        <v>75343</v>
      </c>
      <c r="O6" s="10">
        <v>70943</v>
      </c>
      <c r="P6" s="10">
        <v>218436</v>
      </c>
      <c r="Q6" s="10">
        <v>101328</v>
      </c>
      <c r="R6" s="10">
        <v>218511</v>
      </c>
      <c r="S6" s="10">
        <v>18046</v>
      </c>
      <c r="T6" s="10">
        <v>48010</v>
      </c>
      <c r="U6" s="10">
        <v>69033</v>
      </c>
      <c r="V6" s="10">
        <v>87634</v>
      </c>
      <c r="W6" s="10">
        <v>49955</v>
      </c>
      <c r="X6" s="10">
        <v>67874</v>
      </c>
      <c r="Y6" s="10">
        <v>100261</v>
      </c>
      <c r="Z6" s="10">
        <v>187507</v>
      </c>
      <c r="AA6" s="10">
        <v>19684</v>
      </c>
      <c r="AB6" s="10">
        <v>36027</v>
      </c>
      <c r="AC6" s="10">
        <v>12802</v>
      </c>
      <c r="AD6" s="10">
        <v>26394</v>
      </c>
      <c r="AE6" s="10">
        <v>169767</v>
      </c>
      <c r="AF6" s="10">
        <v>378201</v>
      </c>
    </row>
    <row r="7" spans="1:34" ht="16.05" customHeight="1">
      <c r="A7" s="8" t="s">
        <v>24</v>
      </c>
      <c r="B7" s="9" t="s">
        <v>22</v>
      </c>
      <c r="C7" s="10">
        <v>227267</v>
      </c>
      <c r="D7" s="10">
        <v>368932</v>
      </c>
      <c r="E7" s="10">
        <v>66987</v>
      </c>
      <c r="F7" s="10">
        <v>132594</v>
      </c>
      <c r="G7" s="10">
        <v>580571</v>
      </c>
      <c r="H7" s="10">
        <v>1304821</v>
      </c>
      <c r="I7" s="10">
        <v>204892</v>
      </c>
      <c r="J7" s="10">
        <v>302710</v>
      </c>
      <c r="K7" s="10">
        <v>44952</v>
      </c>
      <c r="L7" s="10">
        <v>99650</v>
      </c>
      <c r="M7" s="10">
        <v>35538</v>
      </c>
      <c r="N7" s="10">
        <v>80843</v>
      </c>
      <c r="O7" s="10">
        <v>77588</v>
      </c>
      <c r="P7" s="10">
        <v>238678</v>
      </c>
      <c r="Q7" s="10">
        <v>104986</v>
      </c>
      <c r="R7" s="10">
        <v>226891</v>
      </c>
      <c r="S7" s="10">
        <v>19327</v>
      </c>
      <c r="T7" s="10">
        <v>50553</v>
      </c>
      <c r="U7" s="10">
        <v>74243</v>
      </c>
      <c r="V7" s="10">
        <v>94138</v>
      </c>
      <c r="W7" s="10">
        <v>53473</v>
      </c>
      <c r="X7" s="10">
        <v>72788</v>
      </c>
      <c r="Y7" s="10">
        <v>111375</v>
      </c>
      <c r="Z7" s="10">
        <v>208802</v>
      </c>
      <c r="AA7" s="10">
        <v>21690</v>
      </c>
      <c r="AB7" s="10">
        <v>39833</v>
      </c>
      <c r="AC7" s="10">
        <v>13937</v>
      </c>
      <c r="AD7" s="10">
        <v>28829</v>
      </c>
      <c r="AE7" s="10">
        <v>176318</v>
      </c>
      <c r="AF7" s="10">
        <v>391524</v>
      </c>
    </row>
    <row r="8" spans="1:34" ht="16.05" customHeight="1">
      <c r="A8" s="5" t="s">
        <v>25</v>
      </c>
      <c r="B8" s="6" t="s">
        <v>26</v>
      </c>
      <c r="C8" s="11">
        <v>1.62</v>
      </c>
      <c r="D8" s="12"/>
      <c r="E8" s="11">
        <v>1.97</v>
      </c>
      <c r="F8" s="12"/>
      <c r="G8" s="11">
        <v>2.25</v>
      </c>
      <c r="H8" s="12"/>
      <c r="I8" s="11">
        <v>1.47</v>
      </c>
      <c r="J8" s="12"/>
      <c r="K8" s="11">
        <v>2.21</v>
      </c>
      <c r="L8" s="12"/>
      <c r="M8" s="11">
        <v>2.2599999999999998</v>
      </c>
      <c r="N8" s="12"/>
      <c r="O8" s="11">
        <v>3.08</v>
      </c>
      <c r="P8" s="12"/>
      <c r="Q8" s="11">
        <v>2.16</v>
      </c>
      <c r="R8" s="12"/>
      <c r="S8" s="11">
        <v>2.64</v>
      </c>
      <c r="T8" s="12"/>
      <c r="U8" s="11">
        <v>1.27</v>
      </c>
      <c r="V8" s="12"/>
      <c r="W8" s="11">
        <v>1.36</v>
      </c>
      <c r="X8" s="12"/>
      <c r="Y8" s="11">
        <v>1.87</v>
      </c>
      <c r="Z8" s="12"/>
      <c r="AA8" s="11">
        <v>1.83</v>
      </c>
      <c r="AB8" s="12"/>
      <c r="AC8" s="11">
        <v>2.0699999999999998</v>
      </c>
      <c r="AD8" s="12"/>
      <c r="AE8" s="11">
        <v>2.2200000000000002</v>
      </c>
      <c r="AF8" s="12"/>
    </row>
    <row r="9" spans="1:34" ht="16.05" customHeight="1">
      <c r="A9" s="45" t="s">
        <v>27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</row>
    <row r="10" spans="1:34" ht="16.05" customHeight="1">
      <c r="A10" s="8" t="s">
        <v>28</v>
      </c>
      <c r="B10" s="9" t="s">
        <v>22</v>
      </c>
      <c r="C10" s="10">
        <v>58238</v>
      </c>
      <c r="D10" s="10">
        <v>91220</v>
      </c>
      <c r="E10" s="10">
        <v>16127</v>
      </c>
      <c r="F10" s="10">
        <v>31514</v>
      </c>
      <c r="G10" s="10">
        <v>118210</v>
      </c>
      <c r="H10" s="10">
        <v>276511</v>
      </c>
      <c r="I10" s="10">
        <v>52596</v>
      </c>
      <c r="J10" s="10">
        <v>77885</v>
      </c>
      <c r="K10" s="10">
        <v>8989</v>
      </c>
      <c r="L10" s="10">
        <v>19552</v>
      </c>
      <c r="M10" s="10">
        <v>9397</v>
      </c>
      <c r="N10" s="10">
        <v>20280</v>
      </c>
      <c r="O10" s="10">
        <v>18649</v>
      </c>
      <c r="P10" s="10">
        <v>56804</v>
      </c>
      <c r="Q10" s="10">
        <v>25859</v>
      </c>
      <c r="R10" s="10">
        <v>55568</v>
      </c>
      <c r="S10" s="10">
        <v>4710</v>
      </c>
      <c r="T10" s="10">
        <v>13196</v>
      </c>
      <c r="U10" s="10">
        <v>19555</v>
      </c>
      <c r="V10" s="10">
        <v>23989</v>
      </c>
      <c r="W10" s="10">
        <v>15369</v>
      </c>
      <c r="X10" s="10">
        <v>20079</v>
      </c>
      <c r="Y10" s="10">
        <v>25562</v>
      </c>
      <c r="Z10" s="10">
        <v>47514</v>
      </c>
      <c r="AA10" s="10">
        <v>4864</v>
      </c>
      <c r="AB10" s="10">
        <v>8993</v>
      </c>
      <c r="AC10" s="10">
        <v>3481</v>
      </c>
      <c r="AD10" s="10">
        <v>7162</v>
      </c>
      <c r="AE10" s="10">
        <v>38873</v>
      </c>
      <c r="AF10" s="10">
        <v>96211</v>
      </c>
    </row>
    <row r="11" spans="1:34" ht="16.05" customHeight="1">
      <c r="A11" s="13" t="s">
        <v>29</v>
      </c>
      <c r="B11" s="14" t="s">
        <v>22</v>
      </c>
      <c r="C11" s="15">
        <v>251328</v>
      </c>
      <c r="D11" s="15">
        <v>402951</v>
      </c>
      <c r="E11" s="15">
        <v>72395</v>
      </c>
      <c r="F11" s="15">
        <v>142375</v>
      </c>
      <c r="G11" s="15">
        <v>750600</v>
      </c>
      <c r="H11" s="15">
        <v>1618147</v>
      </c>
      <c r="I11" s="15">
        <v>236912</v>
      </c>
      <c r="J11" s="15">
        <v>346289</v>
      </c>
      <c r="K11" s="15">
        <v>51289</v>
      </c>
      <c r="L11" s="15">
        <v>111845</v>
      </c>
      <c r="M11" s="15">
        <v>39076</v>
      </c>
      <c r="N11" s="15">
        <v>87298</v>
      </c>
      <c r="O11" s="15">
        <v>84478</v>
      </c>
      <c r="P11" s="15">
        <v>263139</v>
      </c>
      <c r="Q11" s="15">
        <v>122572</v>
      </c>
      <c r="R11" s="15">
        <v>263145</v>
      </c>
      <c r="S11" s="15">
        <v>20429</v>
      </c>
      <c r="T11" s="15">
        <v>57431</v>
      </c>
      <c r="U11" s="15">
        <v>84577</v>
      </c>
      <c r="V11" s="15">
        <v>105527</v>
      </c>
      <c r="W11" s="15">
        <v>60797</v>
      </c>
      <c r="X11" s="15">
        <v>80591</v>
      </c>
      <c r="Y11" s="15">
        <v>123026</v>
      </c>
      <c r="Z11" s="15">
        <v>227013</v>
      </c>
      <c r="AA11" s="15">
        <v>22324</v>
      </c>
      <c r="AB11" s="15">
        <v>39894</v>
      </c>
      <c r="AC11" s="15">
        <v>14217</v>
      </c>
      <c r="AD11" s="15">
        <v>29297</v>
      </c>
      <c r="AE11" s="15">
        <v>203946</v>
      </c>
      <c r="AF11" s="15">
        <v>455949</v>
      </c>
    </row>
    <row r="12" spans="1:34" ht="16.05" customHeight="1">
      <c r="A12" s="8" t="s">
        <v>30</v>
      </c>
      <c r="B12" s="9" t="s">
        <v>22</v>
      </c>
      <c r="C12" s="10">
        <v>121923</v>
      </c>
      <c r="D12" s="10">
        <v>205951</v>
      </c>
      <c r="E12" s="10">
        <v>40447</v>
      </c>
      <c r="F12" s="10">
        <v>80445</v>
      </c>
      <c r="G12" s="10">
        <v>254956</v>
      </c>
      <c r="H12" s="10">
        <v>632636</v>
      </c>
      <c r="I12" s="10">
        <v>109778</v>
      </c>
      <c r="J12" s="10">
        <v>164220</v>
      </c>
      <c r="K12" s="10">
        <v>29266</v>
      </c>
      <c r="L12" s="10">
        <v>66679</v>
      </c>
      <c r="M12" s="10">
        <v>20510</v>
      </c>
      <c r="N12" s="10">
        <v>48608</v>
      </c>
      <c r="O12" s="10">
        <v>45403</v>
      </c>
      <c r="P12" s="10">
        <v>137172</v>
      </c>
      <c r="Q12" s="10">
        <v>57884</v>
      </c>
      <c r="R12" s="10">
        <v>126689</v>
      </c>
      <c r="S12" s="10">
        <v>12235</v>
      </c>
      <c r="T12" s="10">
        <v>27936</v>
      </c>
      <c r="U12" s="10">
        <v>39144</v>
      </c>
      <c r="V12" s="10">
        <v>52256</v>
      </c>
      <c r="W12" s="10">
        <v>27262</v>
      </c>
      <c r="X12" s="10">
        <v>39993</v>
      </c>
      <c r="Y12" s="10">
        <v>63049</v>
      </c>
      <c r="Z12" s="10">
        <v>121782</v>
      </c>
      <c r="AA12" s="10">
        <v>14185</v>
      </c>
      <c r="AB12" s="10">
        <v>26973</v>
      </c>
      <c r="AC12" s="10">
        <v>9041</v>
      </c>
      <c r="AD12" s="10">
        <v>18764</v>
      </c>
      <c r="AE12" s="10">
        <v>103264</v>
      </c>
      <c r="AF12" s="10">
        <v>217566</v>
      </c>
    </row>
    <row r="13" spans="1:34" ht="16.05" customHeight="1">
      <c r="A13" s="8" t="s">
        <v>31</v>
      </c>
      <c r="B13" s="9" t="s">
        <v>22</v>
      </c>
      <c r="C13" s="10">
        <v>60133</v>
      </c>
      <c r="D13" s="10">
        <v>104129</v>
      </c>
      <c r="E13" s="10">
        <v>21729</v>
      </c>
      <c r="F13" s="10">
        <v>42517</v>
      </c>
      <c r="G13" s="10">
        <v>131313</v>
      </c>
      <c r="H13" s="10">
        <v>329929</v>
      </c>
      <c r="I13" s="10">
        <v>53615</v>
      </c>
      <c r="J13" s="10">
        <v>81059</v>
      </c>
      <c r="K13" s="10">
        <v>13768</v>
      </c>
      <c r="L13" s="10">
        <v>31633</v>
      </c>
      <c r="M13" s="10">
        <v>10599</v>
      </c>
      <c r="N13" s="10">
        <v>25481</v>
      </c>
      <c r="O13" s="10">
        <v>23062</v>
      </c>
      <c r="P13" s="10">
        <v>71395</v>
      </c>
      <c r="Q13" s="10">
        <v>29003</v>
      </c>
      <c r="R13" s="10">
        <v>64024</v>
      </c>
      <c r="S13" s="10">
        <v>6506</v>
      </c>
      <c r="T13" s="10">
        <v>14675</v>
      </c>
      <c r="U13" s="10">
        <v>19622</v>
      </c>
      <c r="V13" s="10">
        <v>26127</v>
      </c>
      <c r="W13" s="10">
        <v>14220</v>
      </c>
      <c r="X13" s="10">
        <v>20919</v>
      </c>
      <c r="Y13" s="10">
        <v>32131</v>
      </c>
      <c r="Z13" s="10">
        <v>62299</v>
      </c>
      <c r="AA13" s="10">
        <v>7312</v>
      </c>
      <c r="AB13" s="10">
        <v>14238</v>
      </c>
      <c r="AC13" s="10">
        <v>4817</v>
      </c>
      <c r="AD13" s="10">
        <v>10081</v>
      </c>
      <c r="AE13" s="10">
        <v>52669</v>
      </c>
      <c r="AF13" s="10">
        <v>108745</v>
      </c>
    </row>
    <row r="14" spans="1:34" ht="16.05" customHeight="1">
      <c r="A14" s="45" t="s">
        <v>32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</row>
    <row r="15" spans="1:34" ht="16.05" customHeight="1">
      <c r="A15" s="8" t="s">
        <v>33</v>
      </c>
      <c r="B15" s="9" t="s">
        <v>34</v>
      </c>
      <c r="C15" s="16">
        <v>13.5</v>
      </c>
      <c r="D15" s="16">
        <v>13</v>
      </c>
      <c r="E15" s="16">
        <v>12.5</v>
      </c>
      <c r="F15" s="16">
        <v>12.4</v>
      </c>
      <c r="G15" s="16">
        <v>10.5</v>
      </c>
      <c r="H15" s="16">
        <v>10.9</v>
      </c>
      <c r="I15" s="16">
        <v>13.2</v>
      </c>
      <c r="J15" s="16">
        <v>13.2</v>
      </c>
      <c r="K15" s="16">
        <v>10</v>
      </c>
      <c r="L15" s="16">
        <v>9.9</v>
      </c>
      <c r="M15" s="16">
        <v>13.6</v>
      </c>
      <c r="N15" s="16">
        <v>13</v>
      </c>
      <c r="O15" s="16">
        <v>12.6</v>
      </c>
      <c r="P15" s="16">
        <v>12.4</v>
      </c>
      <c r="Q15" s="16">
        <v>12.5</v>
      </c>
      <c r="R15" s="16">
        <v>12.5</v>
      </c>
      <c r="S15" s="16">
        <v>12.6</v>
      </c>
      <c r="T15" s="16">
        <v>13.4</v>
      </c>
      <c r="U15" s="16">
        <v>13.6</v>
      </c>
      <c r="V15" s="16">
        <v>13.2</v>
      </c>
      <c r="W15" s="16">
        <v>14.9</v>
      </c>
      <c r="X15" s="16">
        <v>14.3</v>
      </c>
      <c r="Y15" s="16">
        <v>12.1</v>
      </c>
      <c r="Z15" s="16">
        <v>12</v>
      </c>
      <c r="AA15" s="16">
        <v>11.8</v>
      </c>
      <c r="AB15" s="16">
        <v>11.9</v>
      </c>
      <c r="AC15" s="16">
        <v>13</v>
      </c>
      <c r="AD15" s="16">
        <v>13</v>
      </c>
      <c r="AE15" s="16">
        <v>11.2</v>
      </c>
      <c r="AF15" s="16">
        <v>12.5</v>
      </c>
    </row>
    <row r="16" spans="1:34" ht="16.05" customHeight="1">
      <c r="A16" s="13" t="s">
        <v>35</v>
      </c>
      <c r="B16" s="14" t="s">
        <v>34</v>
      </c>
      <c r="C16" s="17">
        <v>58.2</v>
      </c>
      <c r="D16" s="17">
        <v>57.6</v>
      </c>
      <c r="E16" s="17">
        <v>56.1</v>
      </c>
      <c r="F16" s="17">
        <v>56</v>
      </c>
      <c r="G16" s="17">
        <v>66.8</v>
      </c>
      <c r="H16" s="17">
        <v>64</v>
      </c>
      <c r="I16" s="17">
        <v>59.3</v>
      </c>
      <c r="J16" s="17">
        <v>58.9</v>
      </c>
      <c r="K16" s="17">
        <v>57.3</v>
      </c>
      <c r="L16" s="17">
        <v>56.5</v>
      </c>
      <c r="M16" s="17">
        <v>56.6</v>
      </c>
      <c r="N16" s="17">
        <v>55.9</v>
      </c>
      <c r="O16" s="17">
        <v>56.9</v>
      </c>
      <c r="P16" s="17">
        <v>57.6</v>
      </c>
      <c r="Q16" s="17">
        <v>59.4</v>
      </c>
      <c r="R16" s="17">
        <v>59.1</v>
      </c>
      <c r="S16" s="17">
        <v>54.7</v>
      </c>
      <c r="T16" s="17">
        <v>58.3</v>
      </c>
      <c r="U16" s="17">
        <v>59</v>
      </c>
      <c r="V16" s="17">
        <v>58.1</v>
      </c>
      <c r="W16" s="17">
        <v>58.8</v>
      </c>
      <c r="X16" s="17">
        <v>57.3</v>
      </c>
      <c r="Y16" s="17">
        <v>58.1</v>
      </c>
      <c r="Z16" s="17">
        <v>57.3</v>
      </c>
      <c r="AA16" s="17">
        <v>54</v>
      </c>
      <c r="AB16" s="17">
        <v>52.6</v>
      </c>
      <c r="AC16" s="17">
        <v>53.2</v>
      </c>
      <c r="AD16" s="17">
        <v>53.1</v>
      </c>
      <c r="AE16" s="17">
        <v>58.9</v>
      </c>
      <c r="AF16" s="17">
        <v>59.2</v>
      </c>
    </row>
    <row r="17" spans="1:32" ht="16.05" customHeight="1">
      <c r="A17" s="8" t="s">
        <v>36</v>
      </c>
      <c r="B17" s="9" t="s">
        <v>34</v>
      </c>
      <c r="C17" s="16">
        <v>28.3</v>
      </c>
      <c r="D17" s="16">
        <v>29.4</v>
      </c>
      <c r="E17" s="16">
        <v>31.4</v>
      </c>
      <c r="F17" s="16">
        <v>31.6</v>
      </c>
      <c r="G17" s="16">
        <v>22.7</v>
      </c>
      <c r="H17" s="16">
        <v>25</v>
      </c>
      <c r="I17" s="16">
        <v>27.5</v>
      </c>
      <c r="J17" s="16">
        <v>27.9</v>
      </c>
      <c r="K17" s="16">
        <v>32.700000000000003</v>
      </c>
      <c r="L17" s="16">
        <v>33.700000000000003</v>
      </c>
      <c r="M17" s="16">
        <v>29.7</v>
      </c>
      <c r="N17" s="16">
        <v>31.1</v>
      </c>
      <c r="O17" s="16">
        <v>30.6</v>
      </c>
      <c r="P17" s="16">
        <v>30</v>
      </c>
      <c r="Q17" s="16">
        <v>28.1</v>
      </c>
      <c r="R17" s="16">
        <v>28.4</v>
      </c>
      <c r="S17" s="16">
        <v>32.700000000000003</v>
      </c>
      <c r="T17" s="16">
        <v>28.3</v>
      </c>
      <c r="U17" s="16">
        <v>27.3</v>
      </c>
      <c r="V17" s="16">
        <v>28.7</v>
      </c>
      <c r="W17" s="16">
        <v>26.4</v>
      </c>
      <c r="X17" s="16">
        <v>28.4</v>
      </c>
      <c r="Y17" s="16">
        <v>29.8</v>
      </c>
      <c r="Z17" s="16">
        <v>30.7</v>
      </c>
      <c r="AA17" s="16">
        <v>34.299999999999997</v>
      </c>
      <c r="AB17" s="16">
        <v>35.6</v>
      </c>
      <c r="AC17" s="16">
        <v>33.799999999999997</v>
      </c>
      <c r="AD17" s="16">
        <v>34</v>
      </c>
      <c r="AE17" s="16">
        <v>29.8</v>
      </c>
      <c r="AF17" s="16">
        <v>28.3</v>
      </c>
    </row>
    <row r="18" spans="1:32" ht="16.05" customHeight="1">
      <c r="A18" s="8" t="s">
        <v>37</v>
      </c>
      <c r="B18" s="9" t="s">
        <v>34</v>
      </c>
      <c r="C18" s="16">
        <v>13.9</v>
      </c>
      <c r="D18" s="16">
        <v>14.9</v>
      </c>
      <c r="E18" s="16">
        <v>16.8</v>
      </c>
      <c r="F18" s="16">
        <v>16.7</v>
      </c>
      <c r="G18" s="16">
        <v>11.7</v>
      </c>
      <c r="H18" s="16">
        <v>13.1</v>
      </c>
      <c r="I18" s="16">
        <v>13.4</v>
      </c>
      <c r="J18" s="16">
        <v>13.8</v>
      </c>
      <c r="K18" s="16">
        <v>15.4</v>
      </c>
      <c r="L18" s="16">
        <v>16</v>
      </c>
      <c r="M18" s="16">
        <v>15.4</v>
      </c>
      <c r="N18" s="16">
        <v>16.3</v>
      </c>
      <c r="O18" s="16">
        <v>15.5</v>
      </c>
      <c r="P18" s="16">
        <v>15.6</v>
      </c>
      <c r="Q18" s="16">
        <v>14.1</v>
      </c>
      <c r="R18" s="16">
        <v>14.4</v>
      </c>
      <c r="S18" s="16">
        <v>17.399999999999999</v>
      </c>
      <c r="T18" s="16">
        <v>14.9</v>
      </c>
      <c r="U18" s="16">
        <v>13.7</v>
      </c>
      <c r="V18" s="16">
        <v>14.4</v>
      </c>
      <c r="W18" s="16">
        <v>13.7</v>
      </c>
      <c r="X18" s="16">
        <v>14.9</v>
      </c>
      <c r="Y18" s="16">
        <v>15.2</v>
      </c>
      <c r="Z18" s="16">
        <v>15.7</v>
      </c>
      <c r="AA18" s="16">
        <v>17.7</v>
      </c>
      <c r="AB18" s="16">
        <v>18.8</v>
      </c>
      <c r="AC18" s="16">
        <v>18</v>
      </c>
      <c r="AD18" s="16">
        <v>18.3</v>
      </c>
      <c r="AE18" s="16">
        <v>15.2</v>
      </c>
      <c r="AF18" s="16">
        <v>14.1</v>
      </c>
    </row>
    <row r="19" spans="1:32" ht="16.05" customHeight="1">
      <c r="A19" s="42" t="s">
        <v>38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</row>
    <row r="20" spans="1:32" ht="16.05" customHeight="1">
      <c r="A20" s="18" t="s">
        <v>39</v>
      </c>
      <c r="B20" s="19" t="s">
        <v>40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</row>
    <row r="21" spans="1:32" ht="16.05" customHeight="1">
      <c r="A21" s="18" t="s">
        <v>41</v>
      </c>
      <c r="B21" s="19" t="s">
        <v>42</v>
      </c>
      <c r="C21" s="21" t="str">
        <f>IF(C20="","",431489/C20)</f>
        <v/>
      </c>
      <c r="D21" s="20"/>
      <c r="E21" s="21" t="str">
        <f>IF(E20="","",128969/E20)</f>
        <v/>
      </c>
      <c r="F21" s="20"/>
      <c r="G21" s="21" t="str">
        <f>IF(G20="","",1123767/G20)</f>
        <v/>
      </c>
      <c r="H21" s="20"/>
      <c r="I21" s="21" t="str">
        <f>IF(I20="","",399286/I20)</f>
        <v/>
      </c>
      <c r="J21" s="20"/>
      <c r="K21" s="21" t="str">
        <f>IF(K20="","",89544/K20)</f>
        <v/>
      </c>
      <c r="L21" s="20"/>
      <c r="M21" s="21" t="str">
        <f>IF(M20="","",68982/M20)</f>
        <v/>
      </c>
      <c r="N21" s="20"/>
      <c r="O21" s="21" t="str">
        <f>IF(O20="","",148531/O20)</f>
        <v/>
      </c>
      <c r="P21" s="20"/>
      <c r="Q21" s="21" t="str">
        <f>IF(Q20="","",206314/Q20)</f>
        <v/>
      </c>
      <c r="R21" s="20"/>
      <c r="S21" s="21" t="str">
        <f>IF(S20="","",37374/S20)</f>
        <v/>
      </c>
      <c r="T21" s="20"/>
      <c r="U21" s="21" t="str">
        <f>IF(U20="","",143275/U20)</f>
        <v/>
      </c>
      <c r="V21" s="20"/>
      <c r="W21" s="21" t="str">
        <f>IF(W20="","",103428/W20)</f>
        <v/>
      </c>
      <c r="X21" s="20"/>
      <c r="Y21" s="21" t="str">
        <f>IF(Y20="","",211636/Y20)</f>
        <v/>
      </c>
      <c r="Z21" s="20"/>
      <c r="AA21" s="21" t="str">
        <f>IF(AA20="","",41374/AA20)</f>
        <v/>
      </c>
      <c r="AB21" s="20"/>
      <c r="AC21" s="21" t="str">
        <f>IF(AC20="","",26738/AC20)</f>
        <v/>
      </c>
      <c r="AD21" s="20"/>
      <c r="AE21" s="21" t="str">
        <f>IF(AE20="","",346084/AE20)</f>
        <v/>
      </c>
      <c r="AF21" s="20"/>
    </row>
    <row r="22" spans="1:32" ht="16.05" customHeight="1">
      <c r="A22" s="18" t="s">
        <v>43</v>
      </c>
      <c r="B22" s="19" t="s">
        <v>42</v>
      </c>
      <c r="C22" s="20"/>
      <c r="D22" s="21" t="str">
        <f>IF(C20="","",700122/C20)</f>
        <v/>
      </c>
      <c r="E22" s="20"/>
      <c r="F22" s="21" t="str">
        <f>IF(E20="","",254334/E20)</f>
        <v/>
      </c>
      <c r="G22" s="20"/>
      <c r="H22" s="21" t="str">
        <f>IF(G20="","",2527294/G20)</f>
        <v/>
      </c>
      <c r="I22" s="20"/>
      <c r="J22" s="21" t="str">
        <f>IF(I20="","",588394/I20)</f>
        <v/>
      </c>
      <c r="K22" s="20"/>
      <c r="L22" s="21" t="str">
        <f>IF(K20="","",198076/K20)</f>
        <v/>
      </c>
      <c r="M22" s="20"/>
      <c r="N22" s="21" t="str">
        <f>IF(M20="","",156186/M20)</f>
        <v/>
      </c>
      <c r="O22" s="20"/>
      <c r="P22" s="21" t="str">
        <f>IF(O20="","",457115/O20)</f>
        <v/>
      </c>
      <c r="Q22" s="20"/>
      <c r="R22" s="21" t="str">
        <f>IF(Q20="","",445403/Q20)</f>
        <v/>
      </c>
      <c r="S22" s="20"/>
      <c r="T22" s="21" t="str">
        <f>IF(S20="","",98563/S20)</f>
        <v/>
      </c>
      <c r="U22" s="20"/>
      <c r="V22" s="21" t="str">
        <f>IF(U20="","",181772/U20)</f>
        <v/>
      </c>
      <c r="W22" s="20"/>
      <c r="X22" s="21" t="str">
        <f>IF(W20="","",140663/W20)</f>
        <v/>
      </c>
      <c r="Y22" s="20"/>
      <c r="Z22" s="21" t="str">
        <f>IF(Y20="","",396310/Y20)</f>
        <v/>
      </c>
      <c r="AA22" s="20"/>
      <c r="AB22" s="21" t="str">
        <f>IF(AA20="","",75860/AA20)</f>
        <v/>
      </c>
      <c r="AC22" s="20"/>
      <c r="AD22" s="21" t="str">
        <f>IF(AC20="","",55223/AC20)</f>
        <v/>
      </c>
      <c r="AE22" s="20"/>
      <c r="AF22" s="21" t="str">
        <f>IF(AE20="","",769726/AE20)</f>
        <v/>
      </c>
    </row>
    <row r="23" spans="1:32" ht="16.05" customHeight="1"/>
    <row r="24" spans="1:32" ht="16.05" customHeight="1"/>
    <row r="25" spans="1:32" ht="16.05" customHeight="1"/>
    <row r="26" spans="1:32" ht="16.05" customHeight="1"/>
    <row r="27" spans="1:32" ht="16.05" customHeight="1"/>
    <row r="28" spans="1:32" ht="16.05" customHeight="1"/>
    <row r="29" spans="1:32" ht="16.05" customHeight="1"/>
    <row r="30" spans="1:32" ht="16.05" customHeight="1"/>
    <row r="31" spans="1:32" ht="16.05" customHeight="1"/>
    <row r="32" spans="1:32" ht="16.05" customHeight="1"/>
    <row r="33" ht="16.05" customHeight="1"/>
    <row r="34" ht="16.05" customHeight="1"/>
    <row r="35" ht="16.05" customHeight="1"/>
    <row r="36" ht="16.05" customHeight="1"/>
    <row r="37" ht="16.05" customHeight="1"/>
    <row r="38" ht="16.05" customHeight="1"/>
    <row r="39" ht="16.05" customHeight="1"/>
    <row r="40" ht="16.05" customHeight="1"/>
    <row r="41" ht="16.05" customHeight="1"/>
    <row r="42" ht="16.05" customHeight="1"/>
    <row r="43" ht="16.05" customHeight="1"/>
    <row r="44" ht="16.05" customHeight="1"/>
    <row r="45" ht="16.05" customHeight="1"/>
    <row r="46" ht="16.05" customHeight="1"/>
    <row r="47" ht="16.05" customHeight="1"/>
    <row r="48" ht="16.05" customHeight="1"/>
    <row r="49" ht="16.05" customHeight="1"/>
    <row r="50" ht="16.05" customHeight="1"/>
    <row r="51" ht="16.05" customHeight="1"/>
    <row r="52" ht="16.05" customHeight="1"/>
    <row r="53" ht="16.05" customHeight="1"/>
    <row r="54" ht="16.05" customHeight="1"/>
    <row r="55" ht="16.05" customHeight="1"/>
    <row r="56" ht="16.05" customHeight="1"/>
    <row r="57" ht="16.05" customHeight="1"/>
    <row r="58" ht="16.05" customHeight="1"/>
    <row r="59" ht="16.05" customHeight="1"/>
  </sheetData>
  <mergeCells count="20">
    <mergeCell ref="A1:AH1"/>
    <mergeCell ref="O2:P2"/>
    <mergeCell ref="Q2:R2"/>
    <mergeCell ref="W2:X2"/>
    <mergeCell ref="A14:AF14"/>
    <mergeCell ref="AA2:AB2"/>
    <mergeCell ref="AC2:AD2"/>
    <mergeCell ref="A4:AF4"/>
    <mergeCell ref="A19:AF19"/>
    <mergeCell ref="G2:H2"/>
    <mergeCell ref="I2:J2"/>
    <mergeCell ref="A9:AF9"/>
    <mergeCell ref="M2:N2"/>
    <mergeCell ref="S2:T2"/>
    <mergeCell ref="U2:V2"/>
    <mergeCell ref="Y2:Z2"/>
    <mergeCell ref="AE2:AF2"/>
    <mergeCell ref="C2:D2"/>
    <mergeCell ref="E2:F2"/>
    <mergeCell ref="K2:L2"/>
  </mergeCells>
  <phoneticPr fontId="13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8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E4" sqref="E4"/>
    </sheetView>
  </sheetViews>
  <sheetFormatPr defaultRowHeight="13.2"/>
  <cols>
    <col min="1" max="1" width="12" customWidth="1"/>
    <col min="2" max="2" width="6" customWidth="1"/>
    <col min="3" max="32" width="9" customWidth="1"/>
  </cols>
  <sheetData>
    <row r="1" spans="1:32" ht="16.05" customHeight="1">
      <c r="A1" s="46" t="s">
        <v>44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</row>
    <row r="2" spans="1:32" ht="36" customHeight="1">
      <c r="A2" s="1" t="s">
        <v>45</v>
      </c>
      <c r="B2" s="4"/>
      <c r="C2" s="44" t="s">
        <v>3</v>
      </c>
      <c r="D2" s="43"/>
      <c r="E2" s="44" t="s">
        <v>4</v>
      </c>
      <c r="F2" s="43"/>
      <c r="G2" s="44" t="s">
        <v>5</v>
      </c>
      <c r="H2" s="43"/>
      <c r="I2" s="44" t="s">
        <v>6</v>
      </c>
      <c r="J2" s="43"/>
      <c r="K2" s="44" t="s">
        <v>7</v>
      </c>
      <c r="L2" s="43"/>
      <c r="M2" s="44" t="s">
        <v>8</v>
      </c>
      <c r="N2" s="43"/>
      <c r="O2" s="44" t="s">
        <v>9</v>
      </c>
      <c r="P2" s="43"/>
      <c r="Q2" s="44" t="s">
        <v>10</v>
      </c>
      <c r="R2" s="43"/>
      <c r="S2" s="44" t="s">
        <v>11</v>
      </c>
      <c r="T2" s="43"/>
      <c r="U2" s="44" t="s">
        <v>12</v>
      </c>
      <c r="V2" s="43"/>
      <c r="W2" s="44" t="s">
        <v>13</v>
      </c>
      <c r="X2" s="43"/>
      <c r="Y2" s="44" t="s">
        <v>14</v>
      </c>
      <c r="Z2" s="43"/>
      <c r="AA2" s="44" t="s">
        <v>15</v>
      </c>
      <c r="AB2" s="43"/>
      <c r="AC2" s="44" t="s">
        <v>16</v>
      </c>
      <c r="AD2" s="43"/>
      <c r="AE2" s="44" t="s">
        <v>17</v>
      </c>
      <c r="AF2" s="43"/>
    </row>
    <row r="3" spans="1:32" ht="13.95" customHeight="1">
      <c r="A3" s="2"/>
      <c r="B3" s="2"/>
      <c r="C3" s="3" t="s">
        <v>18</v>
      </c>
      <c r="D3" s="3" t="s">
        <v>19</v>
      </c>
      <c r="E3" s="3" t="s">
        <v>18</v>
      </c>
      <c r="F3" s="3" t="s">
        <v>19</v>
      </c>
      <c r="G3" s="3" t="s">
        <v>18</v>
      </c>
      <c r="H3" s="3" t="s">
        <v>19</v>
      </c>
      <c r="I3" s="3" t="s">
        <v>18</v>
      </c>
      <c r="J3" s="3" t="s">
        <v>19</v>
      </c>
      <c r="K3" s="3" t="s">
        <v>18</v>
      </c>
      <c r="L3" s="3" t="s">
        <v>19</v>
      </c>
      <c r="M3" s="3" t="s">
        <v>18</v>
      </c>
      <c r="N3" s="3" t="s">
        <v>19</v>
      </c>
      <c r="O3" s="3" t="s">
        <v>18</v>
      </c>
      <c r="P3" s="3" t="s">
        <v>19</v>
      </c>
      <c r="Q3" s="3" t="s">
        <v>18</v>
      </c>
      <c r="R3" s="3" t="s">
        <v>19</v>
      </c>
      <c r="S3" s="3" t="s">
        <v>18</v>
      </c>
      <c r="T3" s="3" t="s">
        <v>19</v>
      </c>
      <c r="U3" s="3" t="s">
        <v>18</v>
      </c>
      <c r="V3" s="3" t="s">
        <v>19</v>
      </c>
      <c r="W3" s="3" t="s">
        <v>18</v>
      </c>
      <c r="X3" s="3" t="s">
        <v>19</v>
      </c>
      <c r="Y3" s="3" t="s">
        <v>18</v>
      </c>
      <c r="Z3" s="3" t="s">
        <v>19</v>
      </c>
      <c r="AA3" s="3" t="s">
        <v>18</v>
      </c>
      <c r="AB3" s="3" t="s">
        <v>19</v>
      </c>
      <c r="AC3" s="3" t="s">
        <v>18</v>
      </c>
      <c r="AD3" s="3" t="s">
        <v>19</v>
      </c>
      <c r="AE3" s="3" t="s">
        <v>18</v>
      </c>
      <c r="AF3" s="3" t="s">
        <v>19</v>
      </c>
    </row>
    <row r="4" spans="1:32" ht="13.95" customHeight="1">
      <c r="A4" s="2"/>
      <c r="B4" s="2"/>
      <c r="C4" s="51">
        <f>SUM(C5:C22)</f>
        <v>431490</v>
      </c>
      <c r="D4" s="51">
        <f t="shared" ref="D4:AF4" si="0">SUM(D5:D22)</f>
        <v>700123</v>
      </c>
      <c r="E4" s="51">
        <f t="shared" si="0"/>
        <v>128970</v>
      </c>
      <c r="F4" s="51">
        <f t="shared" si="0"/>
        <v>254333</v>
      </c>
      <c r="G4" s="51">
        <f t="shared" si="0"/>
        <v>1123766</v>
      </c>
      <c r="H4" s="51">
        <f t="shared" si="0"/>
        <v>2527298</v>
      </c>
      <c r="I4" s="51">
        <f t="shared" si="0"/>
        <v>399287</v>
      </c>
      <c r="J4" s="51">
        <f t="shared" si="0"/>
        <v>588395</v>
      </c>
      <c r="K4" s="51">
        <f t="shared" si="0"/>
        <v>89546</v>
      </c>
      <c r="L4" s="51">
        <f t="shared" si="0"/>
        <v>198077</v>
      </c>
      <c r="M4" s="51">
        <f t="shared" si="0"/>
        <v>68981</v>
      </c>
      <c r="N4" s="51">
        <f t="shared" si="0"/>
        <v>156184</v>
      </c>
      <c r="O4" s="51">
        <f t="shared" si="0"/>
        <v>148533</v>
      </c>
      <c r="P4" s="51">
        <f t="shared" si="0"/>
        <v>457114</v>
      </c>
      <c r="Q4" s="51">
        <f t="shared" si="0"/>
        <v>206315</v>
      </c>
      <c r="R4" s="51">
        <f t="shared" si="0"/>
        <v>445400</v>
      </c>
      <c r="S4" s="51">
        <f t="shared" si="0"/>
        <v>37375</v>
      </c>
      <c r="T4" s="51">
        <f t="shared" si="0"/>
        <v>98563</v>
      </c>
      <c r="U4" s="51">
        <f t="shared" si="0"/>
        <v>143277</v>
      </c>
      <c r="V4" s="51">
        <f t="shared" si="0"/>
        <v>181770</v>
      </c>
      <c r="W4" s="51">
        <f t="shared" si="0"/>
        <v>103429</v>
      </c>
      <c r="X4" s="51">
        <f t="shared" si="0"/>
        <v>140665</v>
      </c>
      <c r="Y4" s="51">
        <f t="shared" si="0"/>
        <v>211637</v>
      </c>
      <c r="Z4" s="51">
        <f t="shared" si="0"/>
        <v>396312</v>
      </c>
      <c r="AA4" s="51">
        <f t="shared" si="0"/>
        <v>41374</v>
      </c>
      <c r="AB4" s="51">
        <f t="shared" si="0"/>
        <v>75860</v>
      </c>
      <c r="AC4" s="51">
        <f t="shared" si="0"/>
        <v>26739</v>
      </c>
      <c r="AD4" s="51">
        <f t="shared" si="0"/>
        <v>55223</v>
      </c>
      <c r="AE4" s="51">
        <f t="shared" si="0"/>
        <v>346085</v>
      </c>
      <c r="AF4" s="51">
        <f t="shared" si="0"/>
        <v>769725</v>
      </c>
    </row>
    <row r="5" spans="1:32" ht="16.05" customHeight="1">
      <c r="A5" s="5" t="s">
        <v>46</v>
      </c>
      <c r="B5" s="22"/>
      <c r="C5" s="7">
        <v>17005</v>
      </c>
      <c r="D5" s="7">
        <v>27425</v>
      </c>
      <c r="E5" s="7">
        <v>4707</v>
      </c>
      <c r="F5" s="7">
        <v>9129</v>
      </c>
      <c r="G5" s="7">
        <v>42273</v>
      </c>
      <c r="H5" s="7">
        <v>94804</v>
      </c>
      <c r="I5" s="7">
        <v>15633</v>
      </c>
      <c r="J5" s="7">
        <v>23179</v>
      </c>
      <c r="K5" s="7">
        <v>2410</v>
      </c>
      <c r="L5" s="7">
        <v>5156</v>
      </c>
      <c r="M5" s="7">
        <v>2897</v>
      </c>
      <c r="N5" s="7">
        <v>6146</v>
      </c>
      <c r="O5" s="7">
        <v>5118</v>
      </c>
      <c r="P5" s="7">
        <v>16613</v>
      </c>
      <c r="Q5" s="7">
        <v>7742</v>
      </c>
      <c r="R5" s="7">
        <v>16468</v>
      </c>
      <c r="S5" s="7">
        <v>1306</v>
      </c>
      <c r="T5" s="7">
        <v>3809</v>
      </c>
      <c r="U5" s="7">
        <v>5919</v>
      </c>
      <c r="V5" s="7">
        <v>7134</v>
      </c>
      <c r="W5" s="7">
        <v>5056</v>
      </c>
      <c r="X5" s="7">
        <v>6424</v>
      </c>
      <c r="Y5" s="7">
        <v>7592</v>
      </c>
      <c r="Z5" s="7">
        <v>13932</v>
      </c>
      <c r="AA5" s="7">
        <v>1410</v>
      </c>
      <c r="AB5" s="7">
        <v>2579</v>
      </c>
      <c r="AC5" s="7">
        <v>1091</v>
      </c>
      <c r="AD5" s="7">
        <v>2103</v>
      </c>
      <c r="AE5" s="7">
        <v>11498</v>
      </c>
      <c r="AF5" s="7">
        <v>29910</v>
      </c>
    </row>
    <row r="6" spans="1:32" ht="16.05" customHeight="1">
      <c r="A6" s="8" t="s">
        <v>47</v>
      </c>
      <c r="B6" s="23"/>
      <c r="C6" s="10">
        <v>20260</v>
      </c>
      <c r="D6" s="10">
        <v>31355</v>
      </c>
      <c r="E6" s="10">
        <v>5679</v>
      </c>
      <c r="F6" s="10">
        <v>11054</v>
      </c>
      <c r="G6" s="10">
        <v>39181</v>
      </c>
      <c r="H6" s="10">
        <v>91869</v>
      </c>
      <c r="I6" s="10">
        <v>18084</v>
      </c>
      <c r="J6" s="10">
        <v>26830</v>
      </c>
      <c r="K6" s="10">
        <v>3141</v>
      </c>
      <c r="L6" s="10">
        <v>6651</v>
      </c>
      <c r="M6" s="10">
        <v>3169</v>
      </c>
      <c r="N6" s="10">
        <v>6888</v>
      </c>
      <c r="O6" s="10">
        <v>6311</v>
      </c>
      <c r="P6" s="10">
        <v>19274</v>
      </c>
      <c r="Q6" s="10">
        <v>8728</v>
      </c>
      <c r="R6" s="10">
        <v>18760</v>
      </c>
      <c r="S6" s="10">
        <v>1640</v>
      </c>
      <c r="T6" s="10">
        <v>4533</v>
      </c>
      <c r="U6" s="10">
        <v>6748</v>
      </c>
      <c r="V6" s="10">
        <v>8292</v>
      </c>
      <c r="W6" s="10">
        <v>5166</v>
      </c>
      <c r="X6" s="10">
        <v>6810</v>
      </c>
      <c r="Y6" s="10">
        <v>8674</v>
      </c>
      <c r="Z6" s="10">
        <v>16141</v>
      </c>
      <c r="AA6" s="10">
        <v>1615</v>
      </c>
      <c r="AB6" s="10">
        <v>3061</v>
      </c>
      <c r="AC6" s="10">
        <v>1135</v>
      </c>
      <c r="AD6" s="10">
        <v>2401</v>
      </c>
      <c r="AE6" s="10">
        <v>12953</v>
      </c>
      <c r="AF6" s="10">
        <v>32396</v>
      </c>
    </row>
    <row r="7" spans="1:32" ht="16.05" customHeight="1">
      <c r="A7" s="5" t="s">
        <v>48</v>
      </c>
      <c r="B7" s="22"/>
      <c r="C7" s="7">
        <v>20973</v>
      </c>
      <c r="D7" s="7">
        <v>32441</v>
      </c>
      <c r="E7" s="7">
        <v>5741</v>
      </c>
      <c r="F7" s="7">
        <v>11331</v>
      </c>
      <c r="G7" s="7">
        <v>36756</v>
      </c>
      <c r="H7" s="7">
        <v>89838</v>
      </c>
      <c r="I7" s="7">
        <v>18879</v>
      </c>
      <c r="J7" s="7">
        <v>27875</v>
      </c>
      <c r="K7" s="7">
        <v>3439</v>
      </c>
      <c r="L7" s="7">
        <v>7745</v>
      </c>
      <c r="M7" s="7">
        <v>3331</v>
      </c>
      <c r="N7" s="7">
        <v>7245</v>
      </c>
      <c r="O7" s="7">
        <v>7220</v>
      </c>
      <c r="P7" s="7">
        <v>20917</v>
      </c>
      <c r="Q7" s="7">
        <v>9389</v>
      </c>
      <c r="R7" s="7">
        <v>20340</v>
      </c>
      <c r="S7" s="7">
        <v>1765</v>
      </c>
      <c r="T7" s="7">
        <v>4855</v>
      </c>
      <c r="U7" s="7">
        <v>6888</v>
      </c>
      <c r="V7" s="7">
        <v>8563</v>
      </c>
      <c r="W7" s="7">
        <v>5147</v>
      </c>
      <c r="X7" s="7">
        <v>6844</v>
      </c>
      <c r="Y7" s="7">
        <v>9296</v>
      </c>
      <c r="Z7" s="7">
        <v>17441</v>
      </c>
      <c r="AA7" s="7">
        <v>1839</v>
      </c>
      <c r="AB7" s="7">
        <v>3353</v>
      </c>
      <c r="AC7" s="7">
        <v>1255</v>
      </c>
      <c r="AD7" s="7">
        <v>2658</v>
      </c>
      <c r="AE7" s="7">
        <v>14423</v>
      </c>
      <c r="AF7" s="7">
        <v>33905</v>
      </c>
    </row>
    <row r="8" spans="1:32" ht="16.05" customHeight="1">
      <c r="A8" s="8" t="s">
        <v>49</v>
      </c>
      <c r="B8" s="23"/>
      <c r="C8" s="10">
        <v>21012</v>
      </c>
      <c r="D8" s="10">
        <v>32900</v>
      </c>
      <c r="E8" s="10">
        <v>6024</v>
      </c>
      <c r="F8" s="10">
        <v>11692</v>
      </c>
      <c r="G8" s="10">
        <v>39403</v>
      </c>
      <c r="H8" s="10">
        <v>96884</v>
      </c>
      <c r="I8" s="10">
        <v>19892</v>
      </c>
      <c r="J8" s="10">
        <v>29173</v>
      </c>
      <c r="K8" s="10">
        <v>4133</v>
      </c>
      <c r="L8" s="10">
        <v>8693</v>
      </c>
      <c r="M8" s="10">
        <v>2886</v>
      </c>
      <c r="N8" s="10">
        <v>6591</v>
      </c>
      <c r="O8" s="10">
        <v>7715</v>
      </c>
      <c r="P8" s="10">
        <v>22292</v>
      </c>
      <c r="Q8" s="10">
        <v>10072</v>
      </c>
      <c r="R8" s="10">
        <v>22159</v>
      </c>
      <c r="S8" s="10">
        <v>1867</v>
      </c>
      <c r="T8" s="10">
        <v>5005</v>
      </c>
      <c r="U8" s="10">
        <v>7575</v>
      </c>
      <c r="V8" s="10">
        <v>9424</v>
      </c>
      <c r="W8" s="10">
        <v>4913</v>
      </c>
      <c r="X8" s="10">
        <v>6576</v>
      </c>
      <c r="Y8" s="10">
        <v>10019</v>
      </c>
      <c r="Z8" s="10">
        <v>19031</v>
      </c>
      <c r="AA8" s="10">
        <v>1765</v>
      </c>
      <c r="AB8" s="10">
        <v>3138</v>
      </c>
      <c r="AC8" s="10">
        <v>1163</v>
      </c>
      <c r="AD8" s="10">
        <v>2442</v>
      </c>
      <c r="AE8" s="10">
        <v>15478</v>
      </c>
      <c r="AF8" s="10">
        <v>34305</v>
      </c>
    </row>
    <row r="9" spans="1:32" ht="16.05" customHeight="1">
      <c r="A9" s="24" t="s">
        <v>50</v>
      </c>
      <c r="B9" s="25" t="s">
        <v>51</v>
      </c>
      <c r="C9" s="26">
        <v>19073</v>
      </c>
      <c r="D9" s="26">
        <v>30104</v>
      </c>
      <c r="E9" s="26">
        <v>5921</v>
      </c>
      <c r="F9" s="26">
        <v>10967</v>
      </c>
      <c r="G9" s="26">
        <v>66723</v>
      </c>
      <c r="H9" s="26">
        <v>144812</v>
      </c>
      <c r="I9" s="26">
        <v>19394</v>
      </c>
      <c r="J9" s="26">
        <v>27996</v>
      </c>
      <c r="K9" s="26">
        <v>4458</v>
      </c>
      <c r="L9" s="26">
        <v>8720</v>
      </c>
      <c r="M9" s="26">
        <v>2486</v>
      </c>
      <c r="N9" s="26">
        <v>5577</v>
      </c>
      <c r="O9" s="26">
        <v>6770</v>
      </c>
      <c r="P9" s="26">
        <v>21128</v>
      </c>
      <c r="Q9" s="26">
        <v>9533</v>
      </c>
      <c r="R9" s="26">
        <v>20889</v>
      </c>
      <c r="S9" s="26">
        <v>1443</v>
      </c>
      <c r="T9" s="26">
        <v>4597</v>
      </c>
      <c r="U9" s="26">
        <v>7218</v>
      </c>
      <c r="V9" s="26">
        <v>8794</v>
      </c>
      <c r="W9" s="26">
        <v>4510</v>
      </c>
      <c r="X9" s="26">
        <v>5771</v>
      </c>
      <c r="Y9" s="26">
        <v>10219</v>
      </c>
      <c r="Z9" s="26">
        <v>18497</v>
      </c>
      <c r="AA9" s="26">
        <v>1365</v>
      </c>
      <c r="AB9" s="26">
        <v>2440</v>
      </c>
      <c r="AC9" s="26">
        <v>743</v>
      </c>
      <c r="AD9" s="26">
        <v>1521</v>
      </c>
      <c r="AE9" s="26">
        <v>16674</v>
      </c>
      <c r="AF9" s="26">
        <v>36120</v>
      </c>
    </row>
    <row r="10" spans="1:32" ht="16.05" customHeight="1">
      <c r="A10" s="24" t="s">
        <v>52</v>
      </c>
      <c r="B10" s="25" t="s">
        <v>51</v>
      </c>
      <c r="C10" s="26">
        <v>17332</v>
      </c>
      <c r="D10" s="26">
        <v>28781</v>
      </c>
      <c r="E10" s="26">
        <v>5782</v>
      </c>
      <c r="F10" s="26">
        <v>10955</v>
      </c>
      <c r="G10" s="26">
        <v>92010</v>
      </c>
      <c r="H10" s="26">
        <v>178405</v>
      </c>
      <c r="I10" s="26">
        <v>19261</v>
      </c>
      <c r="J10" s="26">
        <v>27950</v>
      </c>
      <c r="K10" s="26">
        <v>3743</v>
      </c>
      <c r="L10" s="26">
        <v>7815</v>
      </c>
      <c r="M10" s="26">
        <v>3384</v>
      </c>
      <c r="N10" s="26">
        <v>7128</v>
      </c>
      <c r="O10" s="26">
        <v>6019</v>
      </c>
      <c r="P10" s="26">
        <v>20046</v>
      </c>
      <c r="Q10" s="26">
        <v>10088</v>
      </c>
      <c r="R10" s="26">
        <v>21040</v>
      </c>
      <c r="S10" s="26">
        <v>1322</v>
      </c>
      <c r="T10" s="26">
        <v>4479</v>
      </c>
      <c r="U10" s="26">
        <v>6272</v>
      </c>
      <c r="V10" s="26">
        <v>7637</v>
      </c>
      <c r="W10" s="26">
        <v>5589</v>
      </c>
      <c r="X10" s="26">
        <v>7072</v>
      </c>
      <c r="Y10" s="26">
        <v>9942</v>
      </c>
      <c r="Z10" s="26">
        <v>17546</v>
      </c>
      <c r="AA10" s="26">
        <v>1607</v>
      </c>
      <c r="AB10" s="26">
        <v>2669</v>
      </c>
      <c r="AC10" s="26">
        <v>981</v>
      </c>
      <c r="AD10" s="26">
        <v>1963</v>
      </c>
      <c r="AE10" s="26">
        <v>16004</v>
      </c>
      <c r="AF10" s="26">
        <v>35913</v>
      </c>
    </row>
    <row r="11" spans="1:32" ht="16.05" customHeight="1">
      <c r="A11" s="24" t="s">
        <v>53</v>
      </c>
      <c r="B11" s="25" t="s">
        <v>51</v>
      </c>
      <c r="C11" s="26">
        <v>21198</v>
      </c>
      <c r="D11" s="26">
        <v>34551</v>
      </c>
      <c r="E11" s="26">
        <v>6426</v>
      </c>
      <c r="F11" s="26">
        <v>12364</v>
      </c>
      <c r="G11" s="26">
        <v>88032</v>
      </c>
      <c r="H11" s="26">
        <v>173622</v>
      </c>
      <c r="I11" s="26">
        <v>21173</v>
      </c>
      <c r="J11" s="26">
        <v>30739</v>
      </c>
      <c r="K11" s="26">
        <v>4090</v>
      </c>
      <c r="L11" s="26">
        <v>8570</v>
      </c>
      <c r="M11" s="26">
        <v>3668</v>
      </c>
      <c r="N11" s="26">
        <v>7997</v>
      </c>
      <c r="O11" s="26">
        <v>6704</v>
      </c>
      <c r="P11" s="26">
        <v>21855</v>
      </c>
      <c r="Q11" s="26">
        <v>10821</v>
      </c>
      <c r="R11" s="26">
        <v>22467</v>
      </c>
      <c r="S11" s="26">
        <v>1652</v>
      </c>
      <c r="T11" s="26">
        <v>5043</v>
      </c>
      <c r="U11" s="26">
        <v>7491</v>
      </c>
      <c r="V11" s="26">
        <v>9202</v>
      </c>
      <c r="W11" s="26">
        <v>6159</v>
      </c>
      <c r="X11" s="26">
        <v>7889</v>
      </c>
      <c r="Y11" s="26">
        <v>10709</v>
      </c>
      <c r="Z11" s="26">
        <v>19282</v>
      </c>
      <c r="AA11" s="26">
        <v>1720</v>
      </c>
      <c r="AB11" s="26">
        <v>3175</v>
      </c>
      <c r="AC11" s="26">
        <v>1202</v>
      </c>
      <c r="AD11" s="26">
        <v>2479</v>
      </c>
      <c r="AE11" s="26">
        <v>17376</v>
      </c>
      <c r="AF11" s="26">
        <v>41447</v>
      </c>
    </row>
    <row r="12" spans="1:32" ht="16.05" customHeight="1">
      <c r="A12" s="24" t="s">
        <v>54</v>
      </c>
      <c r="B12" s="25" t="s">
        <v>51</v>
      </c>
      <c r="C12" s="26">
        <v>25448</v>
      </c>
      <c r="D12" s="26">
        <v>40300</v>
      </c>
      <c r="E12" s="26">
        <v>7275</v>
      </c>
      <c r="F12" s="26">
        <v>14068</v>
      </c>
      <c r="G12" s="26">
        <v>85594</v>
      </c>
      <c r="H12" s="26">
        <v>173327</v>
      </c>
      <c r="I12" s="26">
        <v>23320</v>
      </c>
      <c r="J12" s="26">
        <v>34253</v>
      </c>
      <c r="K12" s="26">
        <v>4742</v>
      </c>
      <c r="L12" s="26">
        <v>10122</v>
      </c>
      <c r="M12" s="26">
        <v>4036</v>
      </c>
      <c r="N12" s="26">
        <v>9024</v>
      </c>
      <c r="O12" s="26">
        <v>7822</v>
      </c>
      <c r="P12" s="26">
        <v>24809</v>
      </c>
      <c r="Q12" s="26">
        <v>12144</v>
      </c>
      <c r="R12" s="26">
        <v>25667</v>
      </c>
      <c r="S12" s="26">
        <v>2061</v>
      </c>
      <c r="T12" s="26">
        <v>5700</v>
      </c>
      <c r="U12" s="26">
        <v>8863</v>
      </c>
      <c r="V12" s="26">
        <v>10917</v>
      </c>
      <c r="W12" s="26">
        <v>6490</v>
      </c>
      <c r="X12" s="26">
        <v>8386</v>
      </c>
      <c r="Y12" s="26">
        <v>11550</v>
      </c>
      <c r="Z12" s="26">
        <v>21243</v>
      </c>
      <c r="AA12" s="26">
        <v>2115</v>
      </c>
      <c r="AB12" s="26">
        <v>3868</v>
      </c>
      <c r="AC12" s="26">
        <v>1457</v>
      </c>
      <c r="AD12" s="26">
        <v>2988</v>
      </c>
      <c r="AE12" s="26">
        <v>20441</v>
      </c>
      <c r="AF12" s="26">
        <v>48658</v>
      </c>
    </row>
    <row r="13" spans="1:32" ht="16.05" customHeight="1">
      <c r="A13" s="24" t="s">
        <v>55</v>
      </c>
      <c r="B13" s="25" t="s">
        <v>51</v>
      </c>
      <c r="C13" s="26">
        <v>28995</v>
      </c>
      <c r="D13" s="26">
        <v>46079</v>
      </c>
      <c r="E13" s="26">
        <v>7982</v>
      </c>
      <c r="F13" s="26">
        <v>15608</v>
      </c>
      <c r="G13" s="26">
        <v>84776</v>
      </c>
      <c r="H13" s="26">
        <v>179706</v>
      </c>
      <c r="I13" s="26">
        <v>26696</v>
      </c>
      <c r="J13" s="26">
        <v>39248</v>
      </c>
      <c r="K13" s="26">
        <v>5249</v>
      </c>
      <c r="L13" s="26">
        <v>11469</v>
      </c>
      <c r="M13" s="26">
        <v>4457</v>
      </c>
      <c r="N13" s="26">
        <v>10110</v>
      </c>
      <c r="O13" s="26">
        <v>9647</v>
      </c>
      <c r="P13" s="26">
        <v>29240</v>
      </c>
      <c r="Q13" s="26">
        <v>14070</v>
      </c>
      <c r="R13" s="26">
        <v>30385</v>
      </c>
      <c r="S13" s="26">
        <v>2408</v>
      </c>
      <c r="T13" s="26">
        <v>6600</v>
      </c>
      <c r="U13" s="26">
        <v>9971</v>
      </c>
      <c r="V13" s="26">
        <v>12295</v>
      </c>
      <c r="W13" s="26">
        <v>7389</v>
      </c>
      <c r="X13" s="26">
        <v>9751</v>
      </c>
      <c r="Y13" s="26">
        <v>13365</v>
      </c>
      <c r="Z13" s="26">
        <v>24591</v>
      </c>
      <c r="AA13" s="26">
        <v>2547</v>
      </c>
      <c r="AB13" s="26">
        <v>4592</v>
      </c>
      <c r="AC13" s="26">
        <v>1637</v>
      </c>
      <c r="AD13" s="26">
        <v>3381</v>
      </c>
      <c r="AE13" s="26">
        <v>24071</v>
      </c>
      <c r="AF13" s="26">
        <v>55763</v>
      </c>
    </row>
    <row r="14" spans="1:32" ht="16.05" customHeight="1">
      <c r="A14" s="24" t="s">
        <v>56</v>
      </c>
      <c r="B14" s="25" t="s">
        <v>51</v>
      </c>
      <c r="C14" s="26">
        <v>34013</v>
      </c>
      <c r="D14" s="26">
        <v>54564</v>
      </c>
      <c r="E14" s="26">
        <v>9588</v>
      </c>
      <c r="F14" s="26">
        <v>19085</v>
      </c>
      <c r="G14" s="26">
        <v>93290</v>
      </c>
      <c r="H14" s="26">
        <v>206433</v>
      </c>
      <c r="I14" s="26">
        <v>32666</v>
      </c>
      <c r="J14" s="26">
        <v>47770</v>
      </c>
      <c r="K14" s="26">
        <v>6458</v>
      </c>
      <c r="L14" s="26">
        <v>14194</v>
      </c>
      <c r="M14" s="26">
        <v>5347</v>
      </c>
      <c r="N14" s="26">
        <v>12017</v>
      </c>
      <c r="O14" s="26">
        <v>11840</v>
      </c>
      <c r="P14" s="26">
        <v>35589</v>
      </c>
      <c r="Q14" s="26">
        <v>16503</v>
      </c>
      <c r="R14" s="26">
        <v>35373</v>
      </c>
      <c r="S14" s="26">
        <v>2594</v>
      </c>
      <c r="T14" s="26">
        <v>7466</v>
      </c>
      <c r="U14" s="26">
        <v>10567</v>
      </c>
      <c r="V14" s="26">
        <v>13104</v>
      </c>
      <c r="W14" s="26">
        <v>7788</v>
      </c>
      <c r="X14" s="26">
        <v>10215</v>
      </c>
      <c r="Y14" s="26">
        <v>16035</v>
      </c>
      <c r="Z14" s="26">
        <v>29793</v>
      </c>
      <c r="AA14" s="26">
        <v>3064</v>
      </c>
      <c r="AB14" s="26">
        <v>5355</v>
      </c>
      <c r="AC14" s="26">
        <v>1857</v>
      </c>
      <c r="AD14" s="26">
        <v>3892</v>
      </c>
      <c r="AE14" s="26">
        <v>28758</v>
      </c>
      <c r="AF14" s="26">
        <v>63939</v>
      </c>
    </row>
    <row r="15" spans="1:32" ht="16.05" customHeight="1">
      <c r="A15" s="24" t="s">
        <v>57</v>
      </c>
      <c r="B15" s="25" t="s">
        <v>51</v>
      </c>
      <c r="C15" s="26">
        <v>29881</v>
      </c>
      <c r="D15" s="26">
        <v>48351</v>
      </c>
      <c r="E15" s="26">
        <v>8045</v>
      </c>
      <c r="F15" s="26">
        <v>16355</v>
      </c>
      <c r="G15" s="26">
        <v>79638</v>
      </c>
      <c r="H15" s="26">
        <v>181459</v>
      </c>
      <c r="I15" s="26">
        <v>27744</v>
      </c>
      <c r="J15" s="26">
        <v>40765</v>
      </c>
      <c r="K15" s="26">
        <v>5928</v>
      </c>
      <c r="L15" s="26">
        <v>13556</v>
      </c>
      <c r="M15" s="26">
        <v>4281</v>
      </c>
      <c r="N15" s="26">
        <v>9703</v>
      </c>
      <c r="O15" s="26">
        <v>10118</v>
      </c>
      <c r="P15" s="26">
        <v>31578</v>
      </c>
      <c r="Q15" s="26">
        <v>14530</v>
      </c>
      <c r="R15" s="26">
        <v>30975</v>
      </c>
      <c r="S15" s="26">
        <v>2314</v>
      </c>
      <c r="T15" s="26">
        <v>6461</v>
      </c>
      <c r="U15" s="26">
        <v>8852</v>
      </c>
      <c r="V15" s="26">
        <v>11089</v>
      </c>
      <c r="W15" s="26">
        <v>6402</v>
      </c>
      <c r="X15" s="26">
        <v>8619</v>
      </c>
      <c r="Y15" s="26">
        <v>14649</v>
      </c>
      <c r="Z15" s="26">
        <v>27061</v>
      </c>
      <c r="AA15" s="26">
        <v>2695</v>
      </c>
      <c r="AB15" s="26">
        <v>4772</v>
      </c>
      <c r="AC15" s="26">
        <v>1609</v>
      </c>
      <c r="AD15" s="26">
        <v>3399</v>
      </c>
      <c r="AE15" s="26">
        <v>25237</v>
      </c>
      <c r="AF15" s="26">
        <v>53817</v>
      </c>
    </row>
    <row r="16" spans="1:32" ht="16.05" customHeight="1">
      <c r="A16" s="24" t="s">
        <v>58</v>
      </c>
      <c r="B16" s="25" t="s">
        <v>51</v>
      </c>
      <c r="C16" s="26">
        <v>27733</v>
      </c>
      <c r="D16" s="26">
        <v>44922</v>
      </c>
      <c r="E16" s="26">
        <v>7552</v>
      </c>
      <c r="F16" s="26">
        <v>15328</v>
      </c>
      <c r="G16" s="26">
        <v>66695</v>
      </c>
      <c r="H16" s="26">
        <v>155001</v>
      </c>
      <c r="I16" s="26">
        <v>24382</v>
      </c>
      <c r="J16" s="26">
        <v>35707</v>
      </c>
      <c r="K16" s="26">
        <v>5979</v>
      </c>
      <c r="L16" s="26">
        <v>13746</v>
      </c>
      <c r="M16" s="26">
        <v>4466</v>
      </c>
      <c r="N16" s="26">
        <v>9759</v>
      </c>
      <c r="O16" s="26">
        <v>9146</v>
      </c>
      <c r="P16" s="26">
        <v>29470</v>
      </c>
      <c r="Q16" s="26">
        <v>12714</v>
      </c>
      <c r="R16" s="26">
        <v>27798</v>
      </c>
      <c r="S16" s="26">
        <v>2264</v>
      </c>
      <c r="T16" s="26">
        <v>6132</v>
      </c>
      <c r="U16" s="26">
        <v>8798</v>
      </c>
      <c r="V16" s="26">
        <v>11242</v>
      </c>
      <c r="W16" s="26">
        <v>5833</v>
      </c>
      <c r="X16" s="26">
        <v>8118</v>
      </c>
      <c r="Y16" s="26">
        <v>13916</v>
      </c>
      <c r="Z16" s="26">
        <v>25760</v>
      </c>
      <c r="AA16" s="26">
        <v>2706</v>
      </c>
      <c r="AB16" s="26">
        <v>4824</v>
      </c>
      <c r="AC16" s="26">
        <v>1637</v>
      </c>
      <c r="AD16" s="26">
        <v>3381</v>
      </c>
      <c r="AE16" s="26">
        <v>20913</v>
      </c>
      <c r="AF16" s="26">
        <v>44856</v>
      </c>
    </row>
    <row r="17" spans="1:32" ht="16.05" customHeight="1">
      <c r="A17" s="24" t="s">
        <v>59</v>
      </c>
      <c r="B17" s="25" t="s">
        <v>51</v>
      </c>
      <c r="C17" s="26">
        <v>26644</v>
      </c>
      <c r="D17" s="26">
        <v>42399</v>
      </c>
      <c r="E17" s="26">
        <v>7801</v>
      </c>
      <c r="F17" s="26">
        <v>15952</v>
      </c>
      <c r="G17" s="26">
        <v>54438</v>
      </c>
      <c r="H17" s="26">
        <v>128501</v>
      </c>
      <c r="I17" s="26">
        <v>22385</v>
      </c>
      <c r="J17" s="26">
        <v>32690</v>
      </c>
      <c r="K17" s="26">
        <v>6510</v>
      </c>
      <c r="L17" s="26">
        <v>14960</v>
      </c>
      <c r="M17" s="26">
        <v>4064</v>
      </c>
      <c r="N17" s="26">
        <v>9392</v>
      </c>
      <c r="O17" s="26">
        <v>8698</v>
      </c>
      <c r="P17" s="26">
        <v>27132</v>
      </c>
      <c r="Q17" s="26">
        <v>12097</v>
      </c>
      <c r="R17" s="26">
        <v>26391</v>
      </c>
      <c r="S17" s="26">
        <v>2504</v>
      </c>
      <c r="T17" s="26">
        <v>5947</v>
      </c>
      <c r="U17" s="26">
        <v>8971</v>
      </c>
      <c r="V17" s="26">
        <v>11822</v>
      </c>
      <c r="W17" s="26">
        <v>5724</v>
      </c>
      <c r="X17" s="26">
        <v>8195</v>
      </c>
      <c r="Y17" s="26">
        <v>12621</v>
      </c>
      <c r="Z17" s="26">
        <v>24211</v>
      </c>
      <c r="AA17" s="26">
        <v>2741</v>
      </c>
      <c r="AB17" s="26">
        <v>5061</v>
      </c>
      <c r="AC17" s="26">
        <v>1930</v>
      </c>
      <c r="AD17" s="26">
        <v>3850</v>
      </c>
      <c r="AE17" s="26">
        <v>18994</v>
      </c>
      <c r="AF17" s="26">
        <v>41130</v>
      </c>
    </row>
    <row r="18" spans="1:32" ht="16.05" customHeight="1">
      <c r="A18" s="8" t="s">
        <v>60</v>
      </c>
      <c r="B18" s="23"/>
      <c r="C18" s="10">
        <v>29238</v>
      </c>
      <c r="D18" s="10">
        <v>46938</v>
      </c>
      <c r="E18" s="10">
        <v>8729</v>
      </c>
      <c r="F18" s="10">
        <v>17893</v>
      </c>
      <c r="G18" s="10">
        <v>57231</v>
      </c>
      <c r="H18" s="10">
        <v>138520</v>
      </c>
      <c r="I18" s="10">
        <v>25935</v>
      </c>
      <c r="J18" s="10">
        <v>38197</v>
      </c>
      <c r="K18" s="10">
        <v>7622</v>
      </c>
      <c r="L18" s="10">
        <v>17162</v>
      </c>
      <c r="M18" s="10">
        <v>4634</v>
      </c>
      <c r="N18" s="10">
        <v>10739</v>
      </c>
      <c r="O18" s="10">
        <v>10045</v>
      </c>
      <c r="P18" s="10">
        <v>30280</v>
      </c>
      <c r="Q18" s="10">
        <v>13832</v>
      </c>
      <c r="R18" s="10">
        <v>29833</v>
      </c>
      <c r="S18" s="10">
        <v>2795</v>
      </c>
      <c r="T18" s="10">
        <v>6383</v>
      </c>
      <c r="U18" s="10">
        <v>9822</v>
      </c>
      <c r="V18" s="10">
        <v>13203</v>
      </c>
      <c r="W18" s="10">
        <v>6246</v>
      </c>
      <c r="X18" s="10">
        <v>9138</v>
      </c>
      <c r="Y18" s="10">
        <v>14363</v>
      </c>
      <c r="Z18" s="10">
        <v>27612</v>
      </c>
      <c r="AA18" s="10">
        <v>3153</v>
      </c>
      <c r="AB18" s="10">
        <v>5961</v>
      </c>
      <c r="AC18" s="10">
        <v>2082</v>
      </c>
      <c r="AD18" s="10">
        <v>4237</v>
      </c>
      <c r="AE18" s="10">
        <v>22470</v>
      </c>
      <c r="AF18" s="10">
        <v>49102</v>
      </c>
    </row>
    <row r="19" spans="1:32" ht="16.05" customHeight="1">
      <c r="A19" s="5" t="s">
        <v>61</v>
      </c>
      <c r="B19" s="22"/>
      <c r="C19" s="7">
        <v>32553</v>
      </c>
      <c r="D19" s="7">
        <v>54884</v>
      </c>
      <c r="E19" s="7">
        <v>9989</v>
      </c>
      <c r="F19" s="7">
        <v>20035</v>
      </c>
      <c r="G19" s="7">
        <v>66412</v>
      </c>
      <c r="H19" s="7">
        <v>164188</v>
      </c>
      <c r="I19" s="7">
        <v>30228</v>
      </c>
      <c r="J19" s="7">
        <v>44964</v>
      </c>
      <c r="K19" s="7">
        <v>7876</v>
      </c>
      <c r="L19" s="7">
        <v>17884</v>
      </c>
      <c r="M19" s="7">
        <v>5276</v>
      </c>
      <c r="N19" s="7">
        <v>12388</v>
      </c>
      <c r="O19" s="7">
        <v>12297</v>
      </c>
      <c r="P19" s="7">
        <v>35496</v>
      </c>
      <c r="Q19" s="7">
        <v>15049</v>
      </c>
      <c r="R19" s="7">
        <v>32831</v>
      </c>
      <c r="S19" s="7">
        <v>2934</v>
      </c>
      <c r="T19" s="7">
        <v>6878</v>
      </c>
      <c r="U19" s="7">
        <v>9700</v>
      </c>
      <c r="V19" s="7">
        <v>12926</v>
      </c>
      <c r="W19" s="7">
        <v>6796</v>
      </c>
      <c r="X19" s="7">
        <v>9937</v>
      </c>
      <c r="Y19" s="7">
        <v>16555</v>
      </c>
      <c r="Z19" s="7">
        <v>31871</v>
      </c>
      <c r="AA19" s="7">
        <v>3720</v>
      </c>
      <c r="AB19" s="7">
        <v>6774</v>
      </c>
      <c r="AC19" s="7">
        <v>2142</v>
      </c>
      <c r="AD19" s="7">
        <v>4446</v>
      </c>
      <c r="AE19" s="7">
        <v>28125</v>
      </c>
      <c r="AF19" s="7">
        <v>59719</v>
      </c>
    </row>
    <row r="20" spans="1:32" ht="16.05" customHeight="1">
      <c r="A20" s="8" t="s">
        <v>62</v>
      </c>
      <c r="B20" s="23"/>
      <c r="C20" s="10">
        <v>24139</v>
      </c>
      <c r="D20" s="10">
        <v>42271</v>
      </c>
      <c r="E20" s="10">
        <v>8013</v>
      </c>
      <c r="F20" s="10">
        <v>15886</v>
      </c>
      <c r="G20" s="10">
        <v>51603</v>
      </c>
      <c r="H20" s="10">
        <v>129898</v>
      </c>
      <c r="I20" s="10">
        <v>23824</v>
      </c>
      <c r="J20" s="10">
        <v>35294</v>
      </c>
      <c r="K20" s="10">
        <v>5564</v>
      </c>
      <c r="L20" s="10">
        <v>12823</v>
      </c>
      <c r="M20" s="10">
        <v>3679</v>
      </c>
      <c r="N20" s="10">
        <v>8988</v>
      </c>
      <c r="O20" s="10">
        <v>9361</v>
      </c>
      <c r="P20" s="10">
        <v>27918</v>
      </c>
      <c r="Q20" s="10">
        <v>11337</v>
      </c>
      <c r="R20" s="10">
        <v>24807</v>
      </c>
      <c r="S20" s="10">
        <v>2326</v>
      </c>
      <c r="T20" s="10">
        <v>5392</v>
      </c>
      <c r="U20" s="10">
        <v>6675</v>
      </c>
      <c r="V20" s="10">
        <v>8733</v>
      </c>
      <c r="W20" s="10">
        <v>4682</v>
      </c>
      <c r="X20" s="10">
        <v>6797</v>
      </c>
      <c r="Y20" s="10">
        <v>13381</v>
      </c>
      <c r="Z20" s="10">
        <v>25678</v>
      </c>
      <c r="AA20" s="10">
        <v>2542</v>
      </c>
      <c r="AB20" s="10">
        <v>4650</v>
      </c>
      <c r="AC20" s="10">
        <v>1670</v>
      </c>
      <c r="AD20" s="10">
        <v>3444</v>
      </c>
      <c r="AE20" s="10">
        <v>23296</v>
      </c>
      <c r="AF20" s="10">
        <v>48066</v>
      </c>
    </row>
    <row r="21" spans="1:32" ht="16.05" customHeight="1">
      <c r="A21" s="5" t="s">
        <v>63</v>
      </c>
      <c r="B21" s="22"/>
      <c r="C21" s="7">
        <v>17148</v>
      </c>
      <c r="D21" s="7">
        <v>30021</v>
      </c>
      <c r="E21" s="7">
        <v>5955</v>
      </c>
      <c r="F21" s="7">
        <v>11842</v>
      </c>
      <c r="G21" s="7">
        <v>39429</v>
      </c>
      <c r="H21" s="7">
        <v>98884</v>
      </c>
      <c r="I21" s="7">
        <v>15427</v>
      </c>
      <c r="J21" s="7">
        <v>23127</v>
      </c>
      <c r="K21" s="7">
        <v>3925</v>
      </c>
      <c r="L21" s="7">
        <v>9029</v>
      </c>
      <c r="M21" s="7">
        <v>2994</v>
      </c>
      <c r="N21" s="7">
        <v>7152</v>
      </c>
      <c r="O21" s="7">
        <v>6800</v>
      </c>
      <c r="P21" s="7">
        <v>21310</v>
      </c>
      <c r="Q21" s="7">
        <v>8257</v>
      </c>
      <c r="R21" s="7">
        <v>17944</v>
      </c>
      <c r="S21" s="7">
        <v>1791</v>
      </c>
      <c r="T21" s="7">
        <v>4243</v>
      </c>
      <c r="U21" s="7">
        <v>5451</v>
      </c>
      <c r="V21" s="7">
        <v>7265</v>
      </c>
      <c r="W21" s="7">
        <v>4006</v>
      </c>
      <c r="X21" s="7">
        <v>5859</v>
      </c>
      <c r="Y21" s="7">
        <v>9570</v>
      </c>
      <c r="Z21" s="7">
        <v>18270</v>
      </c>
      <c r="AA21" s="7">
        <v>1957</v>
      </c>
      <c r="AB21" s="7">
        <v>3751</v>
      </c>
      <c r="AC21" s="7">
        <v>1237</v>
      </c>
      <c r="AD21" s="7">
        <v>2649</v>
      </c>
      <c r="AE21" s="7">
        <v>15543</v>
      </c>
      <c r="AF21" s="7">
        <v>32069</v>
      </c>
    </row>
    <row r="22" spans="1:32" ht="16.05" customHeight="1">
      <c r="A22" s="8" t="s">
        <v>64</v>
      </c>
      <c r="B22" s="23"/>
      <c r="C22" s="10">
        <v>18845</v>
      </c>
      <c r="D22" s="10">
        <v>31837</v>
      </c>
      <c r="E22" s="10">
        <v>7761</v>
      </c>
      <c r="F22" s="10">
        <v>14789</v>
      </c>
      <c r="G22" s="10">
        <v>40282</v>
      </c>
      <c r="H22" s="10">
        <v>101147</v>
      </c>
      <c r="I22" s="10">
        <v>14364</v>
      </c>
      <c r="J22" s="10">
        <v>22638</v>
      </c>
      <c r="K22" s="10">
        <v>4279</v>
      </c>
      <c r="L22" s="10">
        <v>9782</v>
      </c>
      <c r="M22" s="10">
        <v>3926</v>
      </c>
      <c r="N22" s="10">
        <v>9340</v>
      </c>
      <c r="O22" s="10">
        <v>6902</v>
      </c>
      <c r="P22" s="10">
        <v>22167</v>
      </c>
      <c r="Q22" s="10">
        <v>9409</v>
      </c>
      <c r="R22" s="10">
        <v>21273</v>
      </c>
      <c r="S22" s="10">
        <v>2389</v>
      </c>
      <c r="T22" s="10">
        <v>5040</v>
      </c>
      <c r="U22" s="10">
        <v>7496</v>
      </c>
      <c r="V22" s="10">
        <v>10128</v>
      </c>
      <c r="W22" s="10">
        <v>5533</v>
      </c>
      <c r="X22" s="10">
        <v>8264</v>
      </c>
      <c r="Y22" s="10">
        <v>9181</v>
      </c>
      <c r="Z22" s="10">
        <v>18352</v>
      </c>
      <c r="AA22" s="10">
        <v>2813</v>
      </c>
      <c r="AB22" s="10">
        <v>5837</v>
      </c>
      <c r="AC22" s="10">
        <v>1911</v>
      </c>
      <c r="AD22" s="10">
        <v>3989</v>
      </c>
      <c r="AE22" s="10">
        <v>13831</v>
      </c>
      <c r="AF22" s="10">
        <v>28610</v>
      </c>
    </row>
    <row r="23" spans="1:32" ht="4.05" customHeight="1"/>
    <row r="24" spans="1:32" ht="16.05" customHeight="1">
      <c r="A24" s="27" t="s">
        <v>65</v>
      </c>
      <c r="B24" s="5"/>
      <c r="C24" s="28">
        <v>58238</v>
      </c>
      <c r="D24" s="28">
        <v>91220</v>
      </c>
      <c r="E24" s="28">
        <v>16127</v>
      </c>
      <c r="F24" s="28">
        <v>31514</v>
      </c>
      <c r="G24" s="28">
        <v>118210</v>
      </c>
      <c r="H24" s="28">
        <v>276511</v>
      </c>
      <c r="I24" s="28">
        <v>52596</v>
      </c>
      <c r="J24" s="28">
        <v>77885</v>
      </c>
      <c r="K24" s="28">
        <v>8989</v>
      </c>
      <c r="L24" s="28">
        <v>19552</v>
      </c>
      <c r="M24" s="28">
        <v>9397</v>
      </c>
      <c r="N24" s="28">
        <v>20280</v>
      </c>
      <c r="O24" s="28">
        <v>18649</v>
      </c>
      <c r="P24" s="28">
        <v>56804</v>
      </c>
      <c r="Q24" s="28">
        <v>25859</v>
      </c>
      <c r="R24" s="28">
        <v>55568</v>
      </c>
      <c r="S24" s="28">
        <v>4710</v>
      </c>
      <c r="T24" s="28">
        <v>13196</v>
      </c>
      <c r="U24" s="28">
        <v>19555</v>
      </c>
      <c r="V24" s="28">
        <v>23989</v>
      </c>
      <c r="W24" s="28">
        <v>15369</v>
      </c>
      <c r="X24" s="28">
        <v>20079</v>
      </c>
      <c r="Y24" s="28">
        <v>25562</v>
      </c>
      <c r="Z24" s="28">
        <v>47514</v>
      </c>
      <c r="AA24" s="28">
        <v>4864</v>
      </c>
      <c r="AB24" s="28">
        <v>8993</v>
      </c>
      <c r="AC24" s="28">
        <v>3481</v>
      </c>
      <c r="AD24" s="28">
        <v>7162</v>
      </c>
      <c r="AE24" s="28">
        <v>38873</v>
      </c>
      <c r="AF24" s="28">
        <v>96211</v>
      </c>
    </row>
    <row r="25" spans="1:32" ht="16.05" customHeight="1">
      <c r="A25" s="29" t="s">
        <v>66</v>
      </c>
      <c r="B25" s="13"/>
      <c r="C25" s="30">
        <v>251328</v>
      </c>
      <c r="D25" s="30">
        <v>402951</v>
      </c>
      <c r="E25" s="30">
        <v>72395</v>
      </c>
      <c r="F25" s="30">
        <v>142375</v>
      </c>
      <c r="G25" s="30">
        <v>750600</v>
      </c>
      <c r="H25" s="30">
        <v>1618147</v>
      </c>
      <c r="I25" s="30">
        <v>236912</v>
      </c>
      <c r="J25" s="30">
        <v>346289</v>
      </c>
      <c r="K25" s="30">
        <v>51289</v>
      </c>
      <c r="L25" s="30">
        <v>111845</v>
      </c>
      <c r="M25" s="30">
        <v>39076</v>
      </c>
      <c r="N25" s="30">
        <v>87298</v>
      </c>
      <c r="O25" s="30">
        <v>84478</v>
      </c>
      <c r="P25" s="30">
        <v>263139</v>
      </c>
      <c r="Q25" s="30">
        <v>122572</v>
      </c>
      <c r="R25" s="30">
        <v>263145</v>
      </c>
      <c r="S25" s="30">
        <v>20429</v>
      </c>
      <c r="T25" s="30">
        <v>57431</v>
      </c>
      <c r="U25" s="30">
        <v>84577</v>
      </c>
      <c r="V25" s="30">
        <v>105527</v>
      </c>
      <c r="W25" s="30">
        <v>60797</v>
      </c>
      <c r="X25" s="30">
        <v>80591</v>
      </c>
      <c r="Y25" s="30">
        <v>123026</v>
      </c>
      <c r="Z25" s="30">
        <v>227013</v>
      </c>
      <c r="AA25" s="30">
        <v>22324</v>
      </c>
      <c r="AB25" s="30">
        <v>39894</v>
      </c>
      <c r="AC25" s="30">
        <v>14217</v>
      </c>
      <c r="AD25" s="30">
        <v>29297</v>
      </c>
      <c r="AE25" s="30">
        <v>203946</v>
      </c>
      <c r="AF25" s="30">
        <v>455949</v>
      </c>
    </row>
    <row r="26" spans="1:32" ht="16.05" customHeight="1">
      <c r="A26" s="31" t="s">
        <v>67</v>
      </c>
      <c r="B26" s="32"/>
      <c r="C26" s="33">
        <v>121923</v>
      </c>
      <c r="D26" s="33">
        <v>205951</v>
      </c>
      <c r="E26" s="33">
        <v>40447</v>
      </c>
      <c r="F26" s="33">
        <v>80445</v>
      </c>
      <c r="G26" s="33">
        <v>254956</v>
      </c>
      <c r="H26" s="33">
        <v>632636</v>
      </c>
      <c r="I26" s="33">
        <v>109778</v>
      </c>
      <c r="J26" s="33">
        <v>164220</v>
      </c>
      <c r="K26" s="33">
        <v>29266</v>
      </c>
      <c r="L26" s="33">
        <v>66679</v>
      </c>
      <c r="M26" s="33">
        <v>20510</v>
      </c>
      <c r="N26" s="33">
        <v>48608</v>
      </c>
      <c r="O26" s="33">
        <v>45403</v>
      </c>
      <c r="P26" s="33">
        <v>137172</v>
      </c>
      <c r="Q26" s="33">
        <v>57884</v>
      </c>
      <c r="R26" s="33">
        <v>126689</v>
      </c>
      <c r="S26" s="33">
        <v>12235</v>
      </c>
      <c r="T26" s="33">
        <v>27936</v>
      </c>
      <c r="U26" s="33">
        <v>39144</v>
      </c>
      <c r="V26" s="33">
        <v>52256</v>
      </c>
      <c r="W26" s="33">
        <v>27262</v>
      </c>
      <c r="X26" s="33">
        <v>39993</v>
      </c>
      <c r="Y26" s="33">
        <v>63049</v>
      </c>
      <c r="Z26" s="33">
        <v>121782</v>
      </c>
      <c r="AA26" s="33">
        <v>14185</v>
      </c>
      <c r="AB26" s="33">
        <v>26973</v>
      </c>
      <c r="AC26" s="33">
        <v>9041</v>
      </c>
      <c r="AD26" s="33">
        <v>18764</v>
      </c>
      <c r="AE26" s="33">
        <v>103264</v>
      </c>
      <c r="AF26" s="33">
        <v>217566</v>
      </c>
    </row>
    <row r="27" spans="1:32" ht="16.05" customHeight="1">
      <c r="A27" s="31" t="s">
        <v>68</v>
      </c>
      <c r="B27" s="32"/>
      <c r="C27" s="33">
        <v>60133</v>
      </c>
      <c r="D27" s="33">
        <v>104129</v>
      </c>
      <c r="E27" s="33">
        <v>21729</v>
      </c>
      <c r="F27" s="33">
        <v>42517</v>
      </c>
      <c r="G27" s="33">
        <v>131313</v>
      </c>
      <c r="H27" s="33">
        <v>329929</v>
      </c>
      <c r="I27" s="33">
        <v>53615</v>
      </c>
      <c r="J27" s="33">
        <v>81059</v>
      </c>
      <c r="K27" s="33">
        <v>13768</v>
      </c>
      <c r="L27" s="33">
        <v>31633</v>
      </c>
      <c r="M27" s="33">
        <v>10599</v>
      </c>
      <c r="N27" s="33">
        <v>25481</v>
      </c>
      <c r="O27" s="33">
        <v>23062</v>
      </c>
      <c r="P27" s="33">
        <v>71395</v>
      </c>
      <c r="Q27" s="33">
        <v>29003</v>
      </c>
      <c r="R27" s="33">
        <v>64024</v>
      </c>
      <c r="S27" s="33">
        <v>6506</v>
      </c>
      <c r="T27" s="33">
        <v>14675</v>
      </c>
      <c r="U27" s="33">
        <v>19622</v>
      </c>
      <c r="V27" s="33">
        <v>26127</v>
      </c>
      <c r="W27" s="33">
        <v>14220</v>
      </c>
      <c r="X27" s="33">
        <v>20919</v>
      </c>
      <c r="Y27" s="33">
        <v>32131</v>
      </c>
      <c r="Z27" s="33">
        <v>62299</v>
      </c>
      <c r="AA27" s="33">
        <v>7312</v>
      </c>
      <c r="AB27" s="33">
        <v>14238</v>
      </c>
      <c r="AC27" s="33">
        <v>4817</v>
      </c>
      <c r="AD27" s="33">
        <v>10081</v>
      </c>
      <c r="AE27" s="33">
        <v>52669</v>
      </c>
      <c r="AF27" s="33">
        <v>108745</v>
      </c>
    </row>
    <row r="28" spans="1:32" ht="28.05" customHeight="1">
      <c r="A28" s="34" t="s">
        <v>69</v>
      </c>
      <c r="B28" s="35"/>
      <c r="C28" s="36">
        <v>230317</v>
      </c>
      <c r="D28" s="36">
        <v>370051</v>
      </c>
      <c r="E28" s="36">
        <v>66372</v>
      </c>
      <c r="F28" s="36">
        <v>130682</v>
      </c>
      <c r="G28" s="36">
        <v>711196</v>
      </c>
      <c r="H28" s="36">
        <v>1521266</v>
      </c>
      <c r="I28" s="36">
        <v>217021</v>
      </c>
      <c r="J28" s="36">
        <v>317118</v>
      </c>
      <c r="K28" s="36">
        <v>47157</v>
      </c>
      <c r="L28" s="36">
        <v>103152</v>
      </c>
      <c r="M28" s="36">
        <v>36189</v>
      </c>
      <c r="N28" s="36">
        <v>80707</v>
      </c>
      <c r="O28" s="36">
        <v>76764</v>
      </c>
      <c r="P28" s="36">
        <v>240847</v>
      </c>
      <c r="Q28" s="36">
        <v>112500</v>
      </c>
      <c r="R28" s="36">
        <v>240985</v>
      </c>
      <c r="S28" s="36">
        <v>18562</v>
      </c>
      <c r="T28" s="36">
        <v>52425</v>
      </c>
      <c r="U28" s="36">
        <v>77003</v>
      </c>
      <c r="V28" s="36">
        <v>96102</v>
      </c>
      <c r="W28" s="36">
        <v>55884</v>
      </c>
      <c r="X28" s="36">
        <v>74016</v>
      </c>
      <c r="Y28" s="36">
        <v>113006</v>
      </c>
      <c r="Z28" s="36">
        <v>207984</v>
      </c>
      <c r="AA28" s="36">
        <v>20560</v>
      </c>
      <c r="AB28" s="36">
        <v>36756</v>
      </c>
      <c r="AC28" s="36">
        <v>13053</v>
      </c>
      <c r="AD28" s="36">
        <v>26854</v>
      </c>
      <c r="AE28" s="36">
        <v>188468</v>
      </c>
      <c r="AF28" s="36">
        <v>421643</v>
      </c>
    </row>
  </sheetData>
  <mergeCells count="16">
    <mergeCell ref="C2:D2"/>
    <mergeCell ref="U2:V2"/>
    <mergeCell ref="A1:AF1"/>
    <mergeCell ref="E2:F2"/>
    <mergeCell ref="G2:H2"/>
    <mergeCell ref="I2:J2"/>
    <mergeCell ref="K2:L2"/>
    <mergeCell ref="Y2:Z2"/>
    <mergeCell ref="AA2:AB2"/>
    <mergeCell ref="AC2:AD2"/>
    <mergeCell ref="AE2:AF2"/>
    <mergeCell ref="O2:P2"/>
    <mergeCell ref="M2:N2"/>
    <mergeCell ref="S2:T2"/>
    <mergeCell ref="Q2:R2"/>
    <mergeCell ref="W2:X2"/>
  </mergeCells>
  <phoneticPr fontId="13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showGridLines="0" tabSelected="1" workbookViewId="0">
      <selection activeCell="G2" sqref="G2"/>
    </sheetView>
  </sheetViews>
  <sheetFormatPr defaultRowHeight="13.2"/>
  <cols>
    <col min="1" max="1" width="28" customWidth="1"/>
    <col min="2" max="3" width="10" customWidth="1"/>
    <col min="4" max="5" width="12" customWidth="1"/>
    <col min="6" max="6" width="30" customWidth="1"/>
    <col min="7" max="8" width="11.5546875" bestFit="1" customWidth="1"/>
  </cols>
  <sheetData>
    <row r="1" spans="1:8" ht="18" customHeight="1">
      <c r="A1" s="46" t="s">
        <v>70</v>
      </c>
      <c r="B1" s="43"/>
      <c r="C1" s="43"/>
      <c r="D1" s="43"/>
    </row>
    <row r="2" spans="1:8" ht="28.05" customHeight="1">
      <c r="A2" s="37" t="s">
        <v>71</v>
      </c>
      <c r="B2" s="37" t="s">
        <v>72</v>
      </c>
      <c r="C2" s="37" t="s">
        <v>73</v>
      </c>
      <c r="D2" s="37" t="s">
        <v>74</v>
      </c>
      <c r="E2" s="37" t="s">
        <v>75</v>
      </c>
      <c r="F2" s="37" t="s">
        <v>76</v>
      </c>
      <c r="G2">
        <v>246</v>
      </c>
      <c r="H2">
        <v>575</v>
      </c>
    </row>
    <row r="3" spans="1:8" ht="16.05" customHeight="1">
      <c r="A3" s="5" t="s">
        <v>3</v>
      </c>
      <c r="B3" s="7">
        <v>431489</v>
      </c>
      <c r="C3" s="38">
        <v>28.3</v>
      </c>
      <c r="D3" s="17">
        <v>53.4</v>
      </c>
      <c r="E3" s="11">
        <v>1.62</v>
      </c>
      <c r="F3" s="5" t="s">
        <v>77</v>
      </c>
      <c r="G3" s="52">
        <f>$G$2*B3</f>
        <v>106146294</v>
      </c>
      <c r="H3" s="52">
        <f>$H$2*B3</f>
        <v>248106175</v>
      </c>
    </row>
    <row r="4" spans="1:8" ht="16.05" customHeight="1">
      <c r="A4" s="8" t="s">
        <v>4</v>
      </c>
      <c r="B4" s="10">
        <v>128969</v>
      </c>
      <c r="C4" s="39">
        <v>31.4</v>
      </c>
      <c r="D4" s="17">
        <v>51.5</v>
      </c>
      <c r="E4" s="40">
        <v>1.97</v>
      </c>
      <c r="F4" s="8" t="s">
        <v>78</v>
      </c>
      <c r="G4" s="52">
        <f t="shared" ref="G4:G17" si="0">$G$2*B4</f>
        <v>31726374</v>
      </c>
      <c r="H4" s="52">
        <f t="shared" ref="H4:H17" si="1">$H$2*B4</f>
        <v>74157175</v>
      </c>
    </row>
    <row r="5" spans="1:8" ht="16.05" customHeight="1">
      <c r="A5" s="5" t="s">
        <v>5</v>
      </c>
      <c r="B5" s="7">
        <v>1123767</v>
      </c>
      <c r="C5" s="38">
        <v>22.7</v>
      </c>
      <c r="D5" s="17">
        <v>63.3</v>
      </c>
      <c r="E5" s="41">
        <v>2.25</v>
      </c>
      <c r="F5" s="5" t="s">
        <v>79</v>
      </c>
      <c r="G5" s="52">
        <f t="shared" si="0"/>
        <v>276446682</v>
      </c>
      <c r="H5" s="52">
        <f t="shared" si="1"/>
        <v>646166025</v>
      </c>
    </row>
    <row r="6" spans="1:8" ht="16.05" customHeight="1">
      <c r="A6" s="8" t="s">
        <v>6</v>
      </c>
      <c r="B6" s="10">
        <v>399286</v>
      </c>
      <c r="C6" s="16">
        <v>27.5</v>
      </c>
      <c r="D6" s="17">
        <v>54.4</v>
      </c>
      <c r="E6" s="40">
        <v>1.47</v>
      </c>
      <c r="F6" s="8" t="s">
        <v>77</v>
      </c>
      <c r="G6" s="52">
        <f t="shared" si="0"/>
        <v>98224356</v>
      </c>
      <c r="H6" s="52">
        <f t="shared" si="1"/>
        <v>229589450</v>
      </c>
    </row>
    <row r="7" spans="1:8" ht="16.05" customHeight="1">
      <c r="A7" s="5" t="s">
        <v>7</v>
      </c>
      <c r="B7" s="7">
        <v>89544</v>
      </c>
      <c r="C7" s="39">
        <v>32.700000000000003</v>
      </c>
      <c r="D7" s="17">
        <v>52.7</v>
      </c>
      <c r="E7" s="41">
        <v>2.21</v>
      </c>
      <c r="F7" s="5" t="s">
        <v>80</v>
      </c>
      <c r="G7" s="52">
        <f t="shared" si="0"/>
        <v>22027824</v>
      </c>
      <c r="H7" s="52">
        <f t="shared" si="1"/>
        <v>51487800</v>
      </c>
    </row>
    <row r="8" spans="1:8" ht="16.05" customHeight="1">
      <c r="A8" s="8" t="s">
        <v>8</v>
      </c>
      <c r="B8" s="10">
        <v>68982</v>
      </c>
      <c r="C8" s="16">
        <v>29.7</v>
      </c>
      <c r="D8" s="17">
        <v>52.5</v>
      </c>
      <c r="E8" s="41">
        <v>2.2599999999999998</v>
      </c>
      <c r="F8" s="8" t="s">
        <v>81</v>
      </c>
      <c r="G8" s="52">
        <f t="shared" si="0"/>
        <v>16969572</v>
      </c>
      <c r="H8" s="52">
        <f t="shared" si="1"/>
        <v>39664650</v>
      </c>
    </row>
    <row r="9" spans="1:8" ht="16.05" customHeight="1">
      <c r="A9" s="5" t="s">
        <v>9</v>
      </c>
      <c r="B9" s="7">
        <v>148531</v>
      </c>
      <c r="C9" s="39">
        <v>30.6</v>
      </c>
      <c r="D9" s="17">
        <v>51.7</v>
      </c>
      <c r="E9" s="41">
        <v>3.08</v>
      </c>
      <c r="F9" s="5" t="s">
        <v>82</v>
      </c>
      <c r="G9" s="52">
        <f t="shared" si="0"/>
        <v>36538626</v>
      </c>
      <c r="H9" s="52">
        <f t="shared" si="1"/>
        <v>85405325</v>
      </c>
    </row>
    <row r="10" spans="1:8" ht="16.05" customHeight="1">
      <c r="A10" s="8" t="s">
        <v>10</v>
      </c>
      <c r="B10" s="10">
        <v>206314</v>
      </c>
      <c r="C10" s="16">
        <v>28.1</v>
      </c>
      <c r="D10" s="17">
        <v>54.5</v>
      </c>
      <c r="E10" s="41">
        <v>2.16</v>
      </c>
      <c r="F10" s="8" t="s">
        <v>83</v>
      </c>
      <c r="G10" s="52">
        <f t="shared" si="0"/>
        <v>50753244</v>
      </c>
      <c r="H10" s="52">
        <f t="shared" si="1"/>
        <v>118630550</v>
      </c>
    </row>
    <row r="11" spans="1:8" ht="16.05" customHeight="1">
      <c r="A11" s="5" t="s">
        <v>11</v>
      </c>
      <c r="B11" s="7">
        <v>37374</v>
      </c>
      <c r="C11" s="39">
        <v>32.700000000000003</v>
      </c>
      <c r="D11" s="17">
        <v>49.7</v>
      </c>
      <c r="E11" s="41">
        <v>2.64</v>
      </c>
      <c r="F11" s="5" t="s">
        <v>80</v>
      </c>
      <c r="G11" s="52">
        <f t="shared" si="0"/>
        <v>9194004</v>
      </c>
      <c r="H11" s="52">
        <f t="shared" si="1"/>
        <v>21490050</v>
      </c>
    </row>
    <row r="12" spans="1:8" ht="16.05" customHeight="1">
      <c r="A12" s="8" t="s">
        <v>12</v>
      </c>
      <c r="B12" s="10">
        <v>143275</v>
      </c>
      <c r="C12" s="16">
        <v>27.3</v>
      </c>
      <c r="D12" s="17">
        <v>53.7</v>
      </c>
      <c r="E12" s="40">
        <v>1.27</v>
      </c>
      <c r="F12" s="8" t="s">
        <v>84</v>
      </c>
      <c r="G12" s="52">
        <f t="shared" si="0"/>
        <v>35245650</v>
      </c>
      <c r="H12" s="52">
        <f t="shared" si="1"/>
        <v>82383125</v>
      </c>
    </row>
    <row r="13" spans="1:8" ht="16.05" customHeight="1">
      <c r="A13" s="5" t="s">
        <v>13</v>
      </c>
      <c r="B13" s="7">
        <v>103428</v>
      </c>
      <c r="C13" s="38">
        <v>26.4</v>
      </c>
      <c r="D13" s="17">
        <v>54</v>
      </c>
      <c r="E13" s="11">
        <v>1.36</v>
      </c>
      <c r="F13" s="5" t="s">
        <v>84</v>
      </c>
      <c r="G13" s="52">
        <f t="shared" si="0"/>
        <v>25443288</v>
      </c>
      <c r="H13" s="52">
        <f t="shared" si="1"/>
        <v>59471100</v>
      </c>
    </row>
    <row r="14" spans="1:8" ht="16.05" customHeight="1">
      <c r="A14" s="8" t="s">
        <v>14</v>
      </c>
      <c r="B14" s="10">
        <v>211636</v>
      </c>
      <c r="C14" s="16">
        <v>29.8</v>
      </c>
      <c r="D14" s="17">
        <v>53.4</v>
      </c>
      <c r="E14" s="40">
        <v>1.87</v>
      </c>
      <c r="F14" s="8" t="s">
        <v>77</v>
      </c>
      <c r="G14" s="52">
        <f t="shared" si="0"/>
        <v>52062456</v>
      </c>
      <c r="H14" s="52">
        <f t="shared" si="1"/>
        <v>121690700</v>
      </c>
    </row>
    <row r="15" spans="1:8" ht="16.05" customHeight="1">
      <c r="A15" s="5" t="s">
        <v>15</v>
      </c>
      <c r="B15" s="7">
        <v>41374</v>
      </c>
      <c r="C15" s="39">
        <v>34.299999999999997</v>
      </c>
      <c r="D15" s="17">
        <v>49.7</v>
      </c>
      <c r="E15" s="11">
        <v>1.83</v>
      </c>
      <c r="F15" s="5" t="s">
        <v>85</v>
      </c>
      <c r="G15" s="52">
        <f t="shared" si="0"/>
        <v>10178004</v>
      </c>
      <c r="H15" s="52">
        <f t="shared" si="1"/>
        <v>23790050</v>
      </c>
    </row>
    <row r="16" spans="1:8" ht="16.05" customHeight="1">
      <c r="A16" s="8" t="s">
        <v>16</v>
      </c>
      <c r="B16" s="10">
        <v>26738</v>
      </c>
      <c r="C16" s="39">
        <v>33.799999999999997</v>
      </c>
      <c r="D16" s="17">
        <v>48.8</v>
      </c>
      <c r="E16" s="41">
        <v>2.0699999999999998</v>
      </c>
      <c r="F16" s="8" t="s">
        <v>80</v>
      </c>
      <c r="G16" s="52">
        <f t="shared" si="0"/>
        <v>6577548</v>
      </c>
      <c r="H16" s="52">
        <f t="shared" si="1"/>
        <v>15374350</v>
      </c>
    </row>
    <row r="17" spans="1:8" ht="16.05" customHeight="1">
      <c r="A17" s="5" t="s">
        <v>17</v>
      </c>
      <c r="B17" s="7">
        <v>346084</v>
      </c>
      <c r="C17" s="38">
        <v>29.8</v>
      </c>
      <c r="D17" s="17">
        <v>54.5</v>
      </c>
      <c r="E17" s="41">
        <v>2.2200000000000002</v>
      </c>
      <c r="F17" s="5" t="s">
        <v>83</v>
      </c>
      <c r="G17" s="52">
        <f t="shared" si="0"/>
        <v>85136664</v>
      </c>
      <c r="H17" s="52">
        <f t="shared" si="1"/>
        <v>198998300</v>
      </c>
    </row>
    <row r="19" spans="1:8" ht="18" customHeight="1">
      <c r="A19" s="49" t="s">
        <v>86</v>
      </c>
      <c r="B19" s="43"/>
      <c r="C19" s="43"/>
      <c r="D19" s="43"/>
      <c r="E19" s="43"/>
      <c r="F19" s="43"/>
    </row>
    <row r="20" spans="1:8">
      <c r="A20" s="48" t="s">
        <v>87</v>
      </c>
      <c r="B20" s="43"/>
      <c r="C20" s="43"/>
      <c r="D20" s="43"/>
      <c r="E20" s="43"/>
      <c r="F20" s="43"/>
    </row>
    <row r="21" spans="1:8">
      <c r="A21" s="50" t="s">
        <v>88</v>
      </c>
      <c r="B21" s="43"/>
      <c r="C21" s="43"/>
      <c r="D21" s="43"/>
      <c r="E21" s="43"/>
      <c r="F21" s="43"/>
    </row>
    <row r="22" spans="1:8">
      <c r="A22" s="48" t="s">
        <v>89</v>
      </c>
      <c r="B22" s="43"/>
      <c r="C22" s="43"/>
      <c r="D22" s="43"/>
      <c r="E22" s="43"/>
      <c r="F22" s="43"/>
    </row>
    <row r="23" spans="1:8">
      <c r="A23" s="50" t="s">
        <v>90</v>
      </c>
      <c r="B23" s="43"/>
      <c r="C23" s="43"/>
      <c r="D23" s="43"/>
      <c r="E23" s="43"/>
      <c r="F23" s="43"/>
    </row>
    <row r="24" spans="1:8">
      <c r="A24" s="48" t="s">
        <v>91</v>
      </c>
      <c r="B24" s="43"/>
      <c r="C24" s="43"/>
      <c r="D24" s="43"/>
      <c r="E24" s="43"/>
      <c r="F24" s="43"/>
    </row>
    <row r="25" spans="1:8">
      <c r="A25" s="50" t="s">
        <v>92</v>
      </c>
      <c r="B25" s="43"/>
      <c r="C25" s="43"/>
      <c r="D25" s="43"/>
      <c r="E25" s="43"/>
      <c r="F25" s="43"/>
    </row>
  </sheetData>
  <mergeCells count="8">
    <mergeCell ref="A25:F25"/>
    <mergeCell ref="A24:F24"/>
    <mergeCell ref="A1:D1"/>
    <mergeCell ref="A19:F19"/>
    <mergeCell ref="A23:F23"/>
    <mergeCell ref="A22:F22"/>
    <mergeCell ref="A20:F20"/>
    <mergeCell ref="A21:F21"/>
  </mergeCells>
  <phoneticPr fontId="1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サマリー比較</vt:lpstr>
      <vt:lpstr>年齢別詳細</vt:lpstr>
      <vt:lpstr>人口特性分析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Tomoya Yamada</cp:lastModifiedBy>
  <dcterms:created xsi:type="dcterms:W3CDTF">2026-03-25T03:04:22Z</dcterms:created>
  <dcterms:modified xsi:type="dcterms:W3CDTF">2026-03-25T04:37:46Z</dcterms:modified>
</cp:coreProperties>
</file>